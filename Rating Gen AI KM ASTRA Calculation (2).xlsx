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mpt Test" sheetId="1" r:id="rId4"/>
    <sheet state="visible" name="1) ChatGPT" sheetId="2" r:id="rId5"/>
    <sheet state="visible" name="2) Perplexity" sheetId="3" r:id="rId6"/>
    <sheet state="visible" name="3) Gemini" sheetId="4" r:id="rId7"/>
    <sheet state="visible" name="4) Deepseek" sheetId="5" r:id="rId8"/>
    <sheet state="visible" name="DSS Calculation" sheetId="6" r:id="rId9"/>
    <sheet state="visible" name="📍Summary All" sheetId="7" r:id="rId10"/>
  </sheets>
  <definedNames/>
  <calcPr/>
</workbook>
</file>

<file path=xl/sharedStrings.xml><?xml version="1.0" encoding="utf-8"?>
<sst xmlns="http://schemas.openxmlformats.org/spreadsheetml/2006/main" count="529" uniqueCount="212">
  <si>
    <t>perplexity is like the lite ai chatbot version</t>
  </si>
  <si>
    <t>of chatgpt due to it's token limitation(?)</t>
  </si>
  <si>
    <t>and based on only 3 pro prompt/day</t>
  </si>
  <si>
    <t>source comparation for prompt answers:
-Knowledge Management Book Astra (2020)
-Knowledge Management Tools Book Astra</t>
  </si>
  <si>
    <t xml:space="preserve"> </t>
  </si>
  <si>
    <t>Ranking The Most Ideal AI Chatbot Model</t>
  </si>
  <si>
    <t>No</t>
  </si>
  <si>
    <t>AI Chatbot</t>
  </si>
  <si>
    <t>AI LLM Model</t>
  </si>
  <si>
    <t>Maturity Score /35</t>
  </si>
  <si>
    <t>Personal Intakes</t>
  </si>
  <si>
    <t>ChatGPT</t>
  </si>
  <si>
    <t>GPT-5 (August 7 2025)</t>
  </si>
  <si>
    <t>Suitable for all KM needs in general such as setting the base information for new user, giving examples &amp; cases, creating tools &amp; template, and helping user to convert the resppnse to many forms. But sometimes it lacked of providing resources.</t>
  </si>
  <si>
    <t>Perplexity</t>
  </si>
  <si>
    <t>Pretty much suitable for all KM needs, giving answer in short &amp; compact response, giving many various resources because it's a research based AI, but sometimes lacking of giving examples.</t>
  </si>
  <si>
    <t>Gemini</t>
  </si>
  <si>
    <t>Gemini 2.5 Pro (June 17 2025)</t>
  </si>
  <si>
    <t>Suitable for general KM needs but still lacking in some aspects of grading, sometimes need to do repeat confirmation to get the ideal expected response, it also takes quite long time for the chatbot to answer questions about 30-40 seconds per question.</t>
  </si>
  <si>
    <t>Deepseek</t>
  </si>
  <si>
    <t>GPT-4o (May 2024)</t>
  </si>
  <si>
    <t>NO</t>
  </si>
  <si>
    <t>Weight %</t>
  </si>
  <si>
    <t>General or Use Case-Based</t>
  </si>
  <si>
    <t>Criteria</t>
  </si>
  <si>
    <t>Description</t>
  </si>
  <si>
    <t>Notes</t>
  </si>
  <si>
    <t>Evaluation</t>
  </si>
  <si>
    <t>Accuracy Point</t>
  </si>
  <si>
    <t>Sample Prompt Input</t>
  </si>
  <si>
    <t>Answer/Response/Output</t>
  </si>
  <si>
    <t>Duration</t>
  </si>
  <si>
    <t>General</t>
  </si>
  <si>
    <t>Accuracy</t>
  </si>
  <si>
    <t>Is the information correct and factually accurate?
Are there any errors?
Sejauh mana chatbot memberikan informasi, definisi, logika, dan analisis yang benar sesuai metodologi KM yang ditetapkan</t>
  </si>
  <si>
    <t>Tidak boleh salah dalam memberikan panduan, definisi, contoh, atau alur proses</t>
  </si>
  <si>
    <t>Semua informasi benar, sesuai dengan metodologi KM. Tidak ada kesalahan dalam definisi, logika, maupun analisis.</t>
  </si>
  <si>
    <t>Sebagian besar informasi benar, hanya ada sangat sedikit kesalahan (misal pemberian contoh yang kurang sesuai), tapi masih sesuai dengan konsep KM.</t>
  </si>
  <si>
    <t>Informasi secara umum benar, tetapi ada beberapa ketidakakuratan atau penjelasan yang tidak sempurna namun inti jawaban masih sesuai.</t>
  </si>
  <si>
    <t>Terdapat kesalahan informasi yang signifikan yang dapat membingungkan user.</t>
  </si>
  <si>
    <t>Jawaban mengandung informasi yang sepenuhnya salah atau kontradiktif dengan prinsip KM.</t>
  </si>
  <si>
    <t>Apa saja fase/tahapan dalam Knowledge Management Implementation?</t>
  </si>
  <si>
    <t>→ Awareness 
→ Assessment
→ Design
→ Implementation 
→ Evaluation 
→ Institutionalization (Culture Building/Pembudayaan)</t>
  </si>
  <si>
    <t>Expected Most Accurate Output based on KM Book Astra:
1. Need Analysis
2. Design Intervention
3. Content Analysis
4. Piloting
5. Effect Analysis</t>
  </si>
  <si>
    <t>Relevance</t>
  </si>
  <si>
    <t>Does the response directly address the prompt?
Is it on-topic and useful?
Sejauh mana jawaban chatbot fokus pada tahap proses KM dan sesuai dengan pertanyaan user, tanpa keluar konteks atau memberi informasi yang tidak dibutuhkan</t>
  </si>
  <si>
    <t>1) Jawaban yang dapat menjawab langsung, tidak berbelit-belit atau memberikan teori yang sangat panjang
 2) Hanya memberikan informasi yang relevan dengan konteks KM</t>
  </si>
  <si>
    <t>Jawaban sepenuhnya fokus dan relevan dengan pertanyaan dan konteks KM, dapat memberikan informasi tambahan yang relevan.</t>
  </si>
  <si>
    <t>Jawaban fokus dan relevan, hanya ada sedikit informasi yang tidak terlalu perlu.</t>
  </si>
  <si>
    <t>Secara umum jawaban relevan dengan pertanyaan user, tetapi tidak secara spesifik menjawab pertanyaan user, memberikan contoh yang kurang pas, atau memberikan teori yang tidak diminta.</t>
  </si>
  <si>
    <t>Jawaban hanya sedikit menyentuh topik, sisanya tidak relevan dengan pertanyaan user.</t>
  </si>
  <si>
    <t>Jawaban sama sekali tidak relevan dengan konteks pertanyaan.</t>
  </si>
  <si>
    <t>Clarity</t>
  </si>
  <si>
    <t>Is the response clear and easy to
 understand?
Is the language precise?
Sejauh mana jawaban chatbot menyampaikan panduan atau memberikan respons dalam bahasa yang sederhana dan dengan contoh praktis agar mudah dipahami</t>
  </si>
  <si>
    <t>1) Chatbot memberikan instruksi atau panduan dengan bahasa yang mudah dipahami
 2) Chatbot memberikan jawaban dengan format rapi: misal menggunakan bullet, numbering, atau tabel
 3) Tidak terlalu panjang lebar, namun juga tidak terlalu singkat sehingga menjadi meaningless</t>
  </si>
  <si>
    <t>Jawaban sangat jelas dan mudah dipahami, memberikan instruksi, contoh, atau rangkuman singkat jika diperlukan, struktur/format jawaban rapi.</t>
  </si>
  <si>
    <t>Jelas, cukup terstruktur, dan mudah dipahami, namun dapat lebih ringkas.</t>
  </si>
  <si>
    <t>Jawaban dapat dimengerti, tapi kurang terstruktur atau menggunakan istilah tanpa penjelasan yang memadai.</t>
  </si>
  <si>
    <t>Jawaban sulit dipahami, struktur jawaban berantakan, tidak memberikan penjelasan istilah atau contoh.</t>
  </si>
  <si>
    <t>Sama sekali membingungkan, ambigu, atau kontradiktif.</t>
  </si>
  <si>
    <t>Jawaban jelas walau masih memiliki kosakata/kalimat filler. Elaborasi jawaban dengan table, visualisasi diagram, poin-poin, numbering, bullet number, dan juga emoji yang membantu kejelasan konteks/topik jawaban.</t>
  </si>
  <si>
    <t>Coherence</t>
  </si>
  <si>
    <t>Does the response logically flow and make sense?
Are there any contradictions?
Kemampuan chatbot untuk mengingat dan menggunakan informasi dari interaksi sebelumnya sehingga dapat memberikan jawaban yang terstruktur, konsisten, logis, dan mudah diikuti</t>
  </si>
  <si>
    <t>1) Chatbot mengingat konteks
 Jawaban terstruktur–ada pembukaan, isi, penutup/rangkuman
 2) Konsisten, tidak mengubah istilah yang digunakan (misal istilah Procurement menjadi Purchasing)
 3) Memvalidasi jawaban user sesuai dengan logic yang sudah didefinisikan</t>
  </si>
  <si>
    <t>Selalu mengingat konteks percakapan, jawaban terstruktur, mampu merujuk pada informasi sebelumnya dengan benar.</t>
  </si>
  <si>
    <t>Jawaban chatbot terstruktur dan mempertahankan konteks, namun sesekali lupa detail kecil namun tidak mengganggu alur.</t>
  </si>
  <si>
    <t>Chatbot terkadang kehilangan konteks atau "melupakan" informasi yang telah diberikan sebelumnya dalam percakapan yang sama.</t>
  </si>
  <si>
    <t>Chatbot sering kehilangan konteks, membuat percakapan terasa terputus-putus, dan mengharuskan user mengulang informasi.</t>
  </si>
  <si>
    <t>Chatbot tidak memiliki memori percakapan sama sekali, setiap interaksi diperlakukan sebagai pertanyaan baru.</t>
  </si>
  <si>
    <t>Bagaimana alur penerapan KM di sebuah proyek? Mulai dari perencanaan sampai evaluasi?</t>
  </si>
  <si>
    <t>1. Perencanaan (Planning Phase)
2. Pengumpulan &amp; Dokumentasi Pengetahuan (Knowledge Capture Phase)
3. Knowledge Sharing &amp; Transfer (Sharing Phase)
4. Penyimpanan &amp; Pengelolaan (Storage Phase)
5. Evaluasi &amp; Pembelajaran (Evaluation &amp; Learning Phase)</t>
  </si>
  <si>
    <t>Expected Answer Based on KM Book Astra:
1. Diagnosis
2. Planning
3. Analyze
4. Development
5. Implementation</t>
  </si>
  <si>
    <t>Completeness</t>
  </si>
  <si>
    <t>Does the response cover all aspects of the prompt?
Are there any missing details?
Sejauh mana jawaban chatbot mencakup semua aspek penting dari pertanyaan yang diberikan user</t>
  </si>
  <si>
    <t>1) Menjawab seluruh aspek pertanyaan user
 2) Chatbot menegaskan bagian mana yang wajib diisi
 3) Memberi arahan apa yang harus dilakukan user selanjutnya (next step)</t>
  </si>
  <si>
    <t>Jawaban mencakup semua aspek penting, menginformasikan kolom wajib diisi, memberikan contoh, ringkasan, dan arahan langkah selanjutnya tanpa perlu pertanyaan klarifikasi lebih lanjut.</t>
  </si>
  <si>
    <t>Hampir semua aspek tercakup, hanya ada detail kecil yang terlewat yang tidak kritis (misalnya tidak menyebutkan contoh).</t>
  </si>
  <si>
    <t>Jawaban menjawab pertanyaan utama, tapi kurang detail atau tidak memberikan konteks yang cukup sehingga user perlu bertanya untuk mendapatkan detail pendukung.</t>
  </si>
  <si>
    <t>Jawaban hanya memberikan sebagian dari informasi yang ditanyakan user.</t>
  </si>
  <si>
    <t>Jawaban sama sekali tidak menjawab pertanyaan atau tidak memberikan informasi yang diminta.</t>
  </si>
  <si>
    <t>Tolong buatkan template Knowledge Mapping yaitu alat yang digunakan untuk memetakan pengetahuan yang dibutuhkan organisasi berdasarkan business process yang ada. Outputnya adalah untuk mengetahui knowledge yang dibutuhkan, knowledge yang sudah dimiliki, serta bentuk, letak, PIC serta SME dari knowledge tersebut.</t>
  </si>
  <si>
    <t>-Business Process
-What Knowledge Needed?
-What is the Existing Knowledge?
-Knowledge Form (Tacit/Explicit)
-Knowledge Source/Location
-PIC
-SME
-Knowledge Gap &amp; Notes</t>
  </si>
  <si>
    <t>Expected Most Accurate Output based on KM Book Tools Astra:
-Process
-Activity
-What knowledge is needed?
-Who owns this knowledge?
-Tacit or Explicit?
-Where is this knowledge?
-Who can validate this knowledge?
-How big is the knowledge gap?
-Additional Details</t>
  </si>
  <si>
    <t>Appropriateness</t>
  </si>
  <si>
    <t>Is the tone and style suitable for the prompt?
Is the response respectful?
Sejauh mana jawaban chatbot menggunakan nada, gaya bahasa, dan sikap yang sesuai dengan user</t>
  </si>
  <si>
    <t>Chatbot harus profesional, suportif, namun tidak terlalu formal dan tidak menggurui</t>
  </si>
  <si>
    <t>Nada bicara konsisten sesuai persona–profesional, ramah, suportif.</t>
  </si>
  <si>
    <t>Nada bicara umumnya sesuai, hanya terkadang sedikit terlalu formal atau santai, tapi masih bisa diterima.</t>
  </si>
  <si>
    <t>Terasa ada ketidakkonsistenan nada bicara (kadang terlalu formal, kadang terlalu santai).</t>
  </si>
  <si>
    <t>Nada terlalu kaku atau terlalu santai, tidak profesional atau suportif.</t>
  </si>
  <si>
    <t>Nada bicara kasar, bertolak belakang dengan persona.</t>
  </si>
  <si>
    <t>Tone respons sangat suportif seperti memberi apresiasi atas rasa ingin tahu user (follow up dari pertanyaan sebelumnya) dan menawarkan bantuan kepada user di akhir respon, seperti brainstorming lebih lanjut atau membantu user men-convert poin-poin diskusi menjadi slide ppt.</t>
  </si>
  <si>
    <t>Response Time</t>
  </si>
  <si>
    <t>The duration required by the system to
 compose an answer.
Durasi waktu yang dibutuhkan chatbot untuk menjawab pertanyaan user</t>
  </si>
  <si>
    <t>1) Response Time penting namun tidak kritis, yang terpenting adalah kualitas jawaban
 2) Durasi &lt;15–20s masih dapat diterima</t>
  </si>
  <si>
    <t>R* ≤ 10s</t>
  </si>
  <si>
    <t>10s &lt; R* ≤ 20s</t>
  </si>
  <si>
    <t>20s &lt; R* ≤ 30s</t>
  </si>
  <si>
    <t>30s &lt; R* ≤ 45s</t>
  </si>
  <si>
    <t>R* &gt; 45s</t>
  </si>
  <si>
    <t>7s - 10s</t>
  </si>
  <si>
    <t>Durasi cepat dengan chatbot secara bertahap mencerna prompt sambil menampilkan jawaban walau kadang diisi dengan kosakata/kalimat filler.</t>
  </si>
  <si>
    <t>→ Evaluasi Infrastruktur dan Perencanaan
→ Analisis, Design, dan Pengembangan Sistem KM
→ Implementasi dan Penyebaran
→ Evaluasi dan Pemeliharaan</t>
  </si>
  <si>
    <t>Jawaban jelas, ringkas, dan to the point namun tetap menggunakan format rapi seperti numbering dan bullet points, juga dilengkapi dengan source link &amp; step by step respon/jawaban tersebut dibentuk dari berbagai macam sumber sehingga lengkap &amp; mudah dimengerti.</t>
  </si>
  <si>
    <t>1. Perencanaan (Planning)
2. Pengumpulan dan Peniptaan Pengetahuan (Knowledge Acquisition and Creation)
3. Penyimpanan dan Pengorganisasian Pengetahuan (Knowledge Storage and Organization)
4. Distribusi dan Berbagi Pengetahuan (Knowledge Sharing and Dissemination)
5. Penggunaan Pengetahuan (Knowledge Utilization)
6. Evaluasi dan Pembelajaran (Evaluation and Learning)</t>
  </si>
  <si>
    <t>-Business Process
-Knowledge needed
-Knowledge owned
-Form of Knowledge (Tacit/Explicit)
-Knowledge Source/Location
-PIC
-SME
-Keterangan/Status</t>
  </si>
  <si>
    <t>Tone respons terkadang terdengar terlalu formal/serius, kurang rasa antusiasme dalam me-reassure/engage dengan user</t>
  </si>
  <si>
    <t>5s - 10s</t>
  </si>
  <si>
    <t>Durasi cepat dengan chatbot secara bertahap (bisa menunjukkan proses/step by step reseach) mencerna prompt sambil menampilkan jawaban dengan model to the point.</t>
  </si>
  <si>
    <t>→ Penemuan dan Perencanaan Strategis (Discovery &amp; Strategic Planning)
→ Desain dan Pengembangan (Design &amp; Development)
→ Impementasi dan Peluncuran ( Implementation &amp; Rollout)
→ Penanaman dan Operasionalisasi (Embedding &amp; Operation)
→ Evaluasi dan Evolusi (Evaluation &amp; Evolution)</t>
  </si>
  <si>
    <t>Jawaban kadang terlalu panjang (bisa lebih ringkas lagi) dan masih menggunakan istilah/terms yang ditranslate dari bahasa asing (Ingrris) sehingga terkadang sulit ditangkap maknanya.</t>
  </si>
  <si>
    <t>1. Perencanaan Proyek (Project Planning &amp; Initation)
2. Pelaksanaan Proyek (Project Execution &amp; Monitoring)
3. Penutupan &amp; Evaluasi Proyek (Project Closure &amp; Evaluation)</t>
  </si>
  <si>
    <t>-Tahapan/Aktivitas Kritis dalam Proses Bisnis
-Knowledge Needed
-Ownership Status
-Form of knowledge (Tacit/Explicit)
-Knowledge Source/Location
-PIC
-SME</t>
  </si>
  <si>
    <t>25s - 30s</t>
  </si>
  <si>
    <t>Durasi menjawab cukup lama dengan chatbot tidak menunjukkan jawaban selagi berpikir (loading prompt), namun bisa menunjukkan dropdown "show thinking" yaitu tentang apa yang sedang dicari/dicerna oleh machine dan hasil akhirnya lebih akurat dari segi critical thinking mengolah research sumber dari internet.</t>
  </si>
  <si>
    <t>→ Assessment &amp; Perumusan Strategi (Penilaian dan Strategi)
→ Perencanaan &amp; Desain Sistem (Rencana dan Desain)
→ Implementasi Pilot (Proyek Percontohan)
→ Ekspansi &amp; Skalasi (Perluasan)
→ Operasionalisasi &amp; Optimasi Berkelanjutan</t>
  </si>
  <si>
    <t>Point &amp; numbering jawaban terlalu panjang dan terkadang dalam memberikan kesimpulan menggunakan istilah/term kosakata yang di translate dari bahasa lain (Inggris) sehingga sedikit sulit dimengerti/diserap maksud penjelasan yang sebenarnya.</t>
  </si>
  <si>
    <t>1. Perencanaan dan Inisiasi Proyek
2. Pelaksanaan &amp; Eksekusi Proyek
3. Penutupan &amp; Review Proyek
4. Penyimpanan &amp; Penyebaran
5. Pemanfaatan &amp; Evaluasi</t>
  </si>
  <si>
    <t>Deepseek:
-Key Activity Process
-Knowledge needed
-Knowledge already owned/existed
-Form of knowledge (Tacit/Explicit)
-Knowledge Source/Location
-PIC/SME
-Knowledge Gap &amp; Risk
-Action Recommendation</t>
  </si>
  <si>
    <t>Terkadang tone respons terasa kaku karena seringkali menggunakan istilah/terms asing yang ditranslate.</t>
  </si>
  <si>
    <t>35s - up to 40s</t>
  </si>
  <si>
    <t>Durasi yang cukup dengan chatbot secara bertahap mencerna prompt sambil menampilkan jawaban secara runtut sambil menyimpulkan final answer setiap point/kalimat, terkadang ada kosakata yang diubah di tengah-tengah proses menjawab.</t>
  </si>
  <si>
    <t>Komparasi Model Gen-AI (DSS Method)</t>
  </si>
  <si>
    <t>Kriteria</t>
  </si>
  <si>
    <t>Bobot (normalisasi)</t>
  </si>
  <si>
    <t>Tipe</t>
  </si>
  <si>
    <t>Skor 1..5</t>
  </si>
  <si>
    <t>1) ChatGPT</t>
  </si>
  <si>
    <t>2) Perplexity</t>
  </si>
  <si>
    <t>3) Gemini</t>
  </si>
  <si>
    <t>4) Deepseek</t>
  </si>
  <si>
    <t>v_ij</t>
  </si>
  <si>
    <t>v | 1) ChatGPT</t>
  </si>
  <si>
    <t>v | 2) Perplexity</t>
  </si>
  <si>
    <t>v | 3) Gemini</t>
  </si>
  <si>
    <t>v | 4) Deepseek</t>
  </si>
  <si>
    <t>denom</t>
  </si>
  <si>
    <t>y_ij</t>
  </si>
  <si>
    <t>y | 1) ChatGPT</t>
  </si>
  <si>
    <t>y | 2) Perplexity</t>
  </si>
  <si>
    <t>y | 3) Gemini</t>
  </si>
  <si>
    <t>y | 4) Deepseek</t>
  </si>
  <si>
    <t>A +</t>
  </si>
  <si>
    <t>A -</t>
  </si>
  <si>
    <t>Benefit</t>
  </si>
  <si>
    <r>
      <rPr>
        <rFont val="Arial"/>
        <color rgb="FF000000"/>
      </rPr>
      <t>*</t>
    </r>
    <r>
      <rPr>
        <rFont val="Arial"/>
        <b/>
        <color rgb="FF000000"/>
      </rPr>
      <t xml:space="preserve">Ket: </t>
    </r>
    <r>
      <rPr>
        <rFont val="Arial"/>
        <color rgb="FF000000"/>
      </rPr>
      <t>Proporsi presentase dapat disesuaikan dengan kebutuhan</t>
    </r>
  </si>
  <si>
    <t>SAW</t>
  </si>
  <si>
    <t>Skor</t>
  </si>
  <si>
    <r>
      <rPr>
        <rFont val="Arial, sans-serif"/>
        <b/>
        <color rgb="FF000000"/>
      </rPr>
      <t xml:space="preserve">Kesimpulan: </t>
    </r>
    <r>
      <rPr>
        <rFont val="Arial, sans-serif"/>
        <b val="0"/>
        <color rgb="FF000000"/>
      </rPr>
      <t>Dari pertimbangan komparasi model dengan 3 Method yang berbeda yaitu SAW, WP, dan TOPSIS didapatkan bahwa berdasarkan hasil ketiga analisa menunjukan bahwa Model Gen-AI oleh OpenAI memiliki skor yang lebih dominan dibandingkan dengan beberapa model lainnya</t>
    </r>
  </si>
  <si>
    <t>Peringkat</t>
  </si>
  <si>
    <t>WP</t>
  </si>
  <si>
    <t>S</t>
  </si>
  <si>
    <t>V</t>
  </si>
  <si>
    <t>Simple Additive Weighting</t>
  </si>
  <si>
    <t>Weighted Product</t>
  </si>
  <si>
    <t>D +</t>
  </si>
  <si>
    <t>D -</t>
  </si>
  <si>
    <t>C</t>
  </si>
  <si>
    <t>Ringkasan Skor dan Peringkat</t>
  </si>
  <si>
    <t>Model</t>
  </si>
  <si>
    <t>TOPSIS</t>
  </si>
  <si>
    <t>Rank SAW</t>
  </si>
  <si>
    <t>Rank WP</t>
  </si>
  <si>
    <t>Rank TOPSIS</t>
  </si>
  <si>
    <t>Borda Poin</t>
  </si>
  <si>
    <t>Rank Final</t>
  </si>
  <si>
    <t>Technique for Order of Preference by Similarity to Ideal Solution</t>
  </si>
  <si>
    <t>Calculation comparing 4 AI Chatbot</t>
  </si>
  <si>
    <t>Evaluation Revision</t>
  </si>
  <si>
    <t>Accuracy (Ketepatan)</t>
  </si>
  <si>
    <t>Jawaban chtatbot menunjukkan semua informasi benar, sesuai dengan metodologi KM. Tidak ada kesalahan dalam definisi, logika, maupun analisis.</t>
  </si>
  <si>
    <t>Sebagian besar informasi benar, hanya ada sangat sedikit kesalahan (misal pemberian contoh yang kurang tepat), tapi masih sesuai dengan konsep KM.</t>
  </si>
  <si>
    <t>Informasi secara umum benar, tetapi ada beberapa ketidakakuratan atau penjelasan yang tidak sempurna namun inti jawaban masih sesuai dengan konsep KM.</t>
  </si>
  <si>
    <r>
      <rPr>
        <rFont val="Arial"/>
        <color theme="1"/>
      </rPr>
      <t xml:space="preserve">3 + 4 + 3 + 4 = </t>
    </r>
    <r>
      <rPr>
        <rFont val="Arial"/>
        <b/>
        <color theme="1"/>
      </rPr>
      <t>3,5</t>
    </r>
  </si>
  <si>
    <t>✅</t>
  </si>
  <si>
    <t>Relevance (Hubungan)</t>
  </si>
  <si>
    <t>Jawaban chatbot sepenuhnya fokus dan relevan dengan pertanyaan dan konteks KM, dapat memberikan informasi tambahan yang relevan.</t>
  </si>
  <si>
    <t>Jawaban fokus dan relevan, hanya ada sedikit informasi yang tidak perlu.</t>
  </si>
  <si>
    <t>Secara umum jawaban relevan dengan pertanyaan user, tetapi tidak spesifik menjawab pertanyaan user, memberikan contoh yang kurang pas, atau memberikan teori yang tidak diminta.</t>
  </si>
  <si>
    <t>Jawaban chatbot hanya sedikit menyentuh topik, sisanya tidak relevan dengan pertanyaan user.</t>
  </si>
  <si>
    <t>Jawaban chatbot sama sekali tidak relevan dengan konteks pertanyaan.</t>
  </si>
  <si>
    <r>
      <rPr>
        <rFont val="Arial"/>
        <color theme="1"/>
      </rPr>
      <t xml:space="preserve">4 + 4 + 5 + 4 = </t>
    </r>
    <r>
      <rPr>
        <rFont val="Arial"/>
        <b/>
        <color theme="1"/>
      </rPr>
      <t>4,25</t>
    </r>
  </si>
  <si>
    <t>Clarity (Kejelasan)</t>
  </si>
  <si>
    <t>Chatbot menjawab dengan sangat jelas dan mudah dipahami, memberikan instruksi, contoh, atau rangkuman singkat jika diperlukan, struktur/format jawaban rapi.</t>
  </si>
  <si>
    <t>Jawaban chatbbot jelas, cukup terstruktur, dan mudah dipahami, namun dapat lebih ringkas.</t>
  </si>
  <si>
    <t>Jawaban chatbot dapat dimengerti, tapi kurang terstruktur atau menggunakan istilah/term asing tanpa penjelasan yang memadai.</t>
  </si>
  <si>
    <t>Jawaban chatbot sulit dipahami, struktur/format nya berantakan, tidak memberikan penjelasan istilah atau contoh.</t>
  </si>
  <si>
    <t>Jawaban chatbot sama sekali membingungkan, ambigu, atau kontradiktif dengan konteks pertanyaaan.</t>
  </si>
  <si>
    <r>
      <rPr>
        <rFont val="Arial"/>
        <color theme="1"/>
      </rPr>
      <t xml:space="preserve">5 + 3 + 5 + 4 = </t>
    </r>
    <r>
      <rPr>
        <rFont val="Arial"/>
        <b/>
        <color theme="1"/>
      </rPr>
      <t>4,25</t>
    </r>
  </si>
  <si>
    <t>Coherence (Kecocokan)</t>
  </si>
  <si>
    <t>Chatbot selalu mengingat konteks percakapan, jawaban terstruktur, dan mampu merujuk kepada topik/informasi sebelumnya dengan benar.</t>
  </si>
  <si>
    <t>Jawaban chatbot terstruktur dan mempertahankan konteks, namun sesekali lupa detail kecil akan tetapi tidak mengganggu alur.</t>
  </si>
  <si>
    <t>Chatbot terkadang kehilangan konteks atau "melupakan" informasi yang telah diberikan sebelumnya dalam percakapan (roomchat) yang sama.</t>
  </si>
  <si>
    <t>Chatbot sering kehilangan konteks, membuat percakapan terasa hilang arah, dan mengharuskan user mengulang informasi.</t>
  </si>
  <si>
    <t>Chatbot tidak memiliki ingatan/history percakapan sama sekali, setiap interaksi dalam roomchat diperlakukan sebagai pertanyaan baru.</t>
  </si>
  <si>
    <r>
      <rPr>
        <rFont val="Arial"/>
        <color theme="1"/>
      </rPr>
      <t xml:space="preserve">5 + 4 + 5 + 4 = </t>
    </r>
    <r>
      <rPr>
        <rFont val="Arial"/>
        <b/>
        <color theme="1"/>
      </rPr>
      <t>4,5</t>
    </r>
  </si>
  <si>
    <t>Completeness (Kelengkapan)</t>
  </si>
  <si>
    <t>Jawaban mencakup semua aspek penting, menginformasikan kolom wajib diisi pada template KM Tools, memberikan contoh, ringkasan, dan arahan langkah selanjutnya tanpa perlu pertanyaan klarifikasi lebih lanjut.</t>
  </si>
  <si>
    <t>Jawaban hampir mencakup semua aspek, hanya ada detail kecil yang terlewat yang tidak kritis (misalnya tidak menyebutkan contoh).</t>
  </si>
  <si>
    <t>Jawaban menjawab pertanyaan utama, tapi kurang detail atau tidak memberikan konteks yang cukup sehingga user perlu mengajukan pertanyaan lebih lanjut untuk mendapatkan informasi pendukung.</t>
  </si>
  <si>
    <t>Chatbot hanya memberikan sebagian jawaban dari informasi yang ditanyakan user.</t>
  </si>
  <si>
    <t>Chatbot sama sekali tidak menjawab pertanyaan atau tidak memberikan informasi yang diminta oleh user.</t>
  </si>
  <si>
    <r>
      <rPr>
        <rFont val="Arial"/>
        <color theme="1"/>
      </rPr>
      <t xml:space="preserve">5 + 5 + 4 + 5 = </t>
    </r>
    <r>
      <rPr>
        <rFont val="Arial"/>
        <b/>
        <color theme="1"/>
      </rPr>
      <t>4,75</t>
    </r>
  </si>
  <si>
    <t>Appropriateness (Kelayakan)</t>
  </si>
  <si>
    <t>Tone chatbot konsisten sesuai persona–profesional, ramah, suportif (menawarkan bantuan atau follow up mengenai topik yang sedang dibahas)</t>
  </si>
  <si>
    <t>Tone chatbot umumnya sesuai, hanya terkadang sedikit terlalu formal atau santai, tapi masih bisa diterima.</t>
  </si>
  <si>
    <t>Terasa ada ketidakkonsistenan tone chatbot yang kentara (kadang terlalu formal, kadang terlalu santai).</t>
  </si>
  <si>
    <t>Tone chatbot terlalu kaku atau terlalu santai, tidak profesional atau suportif.</t>
  </si>
  <si>
    <t>Tone chatbot terasa kasar atau bertolak belakang dengan persona.</t>
  </si>
  <si>
    <r>
      <rPr>
        <rFont val="Arial"/>
        <color theme="1"/>
      </rPr>
      <t xml:space="preserve">5 + 4 + 4 + 5 = </t>
    </r>
    <r>
      <rPr>
        <rFont val="Arial"/>
        <b/>
        <color theme="1"/>
      </rPr>
      <t>4,5</t>
    </r>
  </si>
  <si>
    <t>Response Time (Kecepatan waktu merespon)</t>
  </si>
  <si>
    <r>
      <rPr>
        <rFont val="Arial"/>
        <color theme="1"/>
      </rPr>
      <t xml:space="preserve">5 + 2 + 5 + 3 = </t>
    </r>
    <r>
      <rPr>
        <rFont val="Arial"/>
        <b/>
        <color theme="1"/>
      </rPr>
      <t>3,75</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</si>
</sst>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b/>
      <color theme="1"/>
      <name val="Arial"/>
      <scheme val="minor"/>
    </font>
    <font/>
    <font>
      <b/>
      <sz val="11.0"/>
      <color rgb="FFFFFFFF"/>
      <name val="Arial"/>
    </font>
    <font>
      <b/>
      <sz val="11.0"/>
      <color rgb="FFFFFFFF"/>
      <name val="&quot;Aptos Display&quot;"/>
    </font>
    <font>
      <b/>
      <sz val="11.0"/>
      <color rgb="FFFFFFFF"/>
      <name val="Arial"/>
      <scheme val="minor"/>
    </font>
    <font>
      <b/>
      <color rgb="FFFFFFFF"/>
      <name val="Arial"/>
      <scheme val="minor"/>
    </font>
    <font>
      <sz val="11.0"/>
      <color rgb="FF000000"/>
      <name val="Arial"/>
    </font>
    <font>
      <sz val="11.0"/>
      <color rgb="FF000000"/>
      <name val="&quot;Aptos Display&quot;"/>
    </font>
    <font>
      <b/>
      <sz val="11.0"/>
      <color rgb="FF000000"/>
      <name val="&quot;Aptos Display&quot;"/>
    </font>
    <font>
      <b/>
      <sz val="11.0"/>
      <color rgb="FF000000"/>
      <name val="Arial"/>
    </font>
    <font>
      <b/>
      <sz val="14.0"/>
      <color theme="1"/>
      <name val="Arial"/>
    </font>
    <font>
      <color rgb="FF000000"/>
      <name val="Arial"/>
    </font>
    <font>
      <b/>
      <color theme="1"/>
      <name val="Arial"/>
    </font>
    <font>
      <b/>
      <color rgb="FF000000"/>
      <name val="Arial"/>
    </font>
    <font>
      <sz val="10.0"/>
      <color rgb="FF000000"/>
      <name val="Arial"/>
    </font>
  </fonts>
  <fills count="17">
    <fill>
      <patternFill patternType="none"/>
    </fill>
    <fill>
      <patternFill patternType="lightGray"/>
    </fill>
    <fill>
      <patternFill patternType="solid">
        <fgColor rgb="FFEAD1DC"/>
        <bgColor rgb="FFEAD1DC"/>
      </patternFill>
    </fill>
    <fill>
      <patternFill patternType="solid">
        <fgColor rgb="FFCFE2F3"/>
        <bgColor rgb="FFCFE2F3"/>
      </patternFill>
    </fill>
    <fill>
      <patternFill patternType="solid">
        <fgColor rgb="FF002060"/>
        <bgColor rgb="FF002060"/>
      </patternFill>
    </fill>
    <fill>
      <patternFill patternType="solid">
        <fgColor rgb="FF38761D"/>
        <bgColor rgb="FF38761D"/>
      </patternFill>
    </fill>
    <fill>
      <patternFill patternType="solid">
        <fgColor rgb="FFD9EAD3"/>
        <bgColor rgb="FFD9EAD3"/>
      </patternFill>
    </fill>
    <fill>
      <patternFill patternType="solid">
        <fgColor rgb="FFE2EFDA"/>
        <bgColor rgb="FFE2EFDA"/>
      </patternFill>
    </fill>
    <fill>
      <patternFill patternType="solid">
        <fgColor rgb="FFFFF2CC"/>
        <bgColor rgb="FFFFF2CC"/>
      </patternFill>
    </fill>
    <fill>
      <patternFill patternType="solid">
        <fgColor rgb="FFD0E0E3"/>
        <bgColor rgb="FFD0E0E3"/>
      </patternFill>
    </fill>
    <fill>
      <patternFill patternType="solid">
        <fgColor rgb="FFFFFF00"/>
        <bgColor rgb="FFFFFF00"/>
      </patternFill>
    </fill>
    <fill>
      <patternFill patternType="solid">
        <fgColor rgb="FFFFFFFF"/>
        <bgColor rgb="FFFFFFFF"/>
      </patternFill>
    </fill>
    <fill>
      <patternFill patternType="solid">
        <fgColor rgb="FFE3F2FD"/>
        <bgColor rgb="FFE3F2FD"/>
      </patternFill>
    </fill>
    <fill>
      <patternFill patternType="solid">
        <fgColor rgb="FF00FF00"/>
        <bgColor rgb="FF00FF00"/>
      </patternFill>
    </fill>
    <fill>
      <patternFill patternType="solid">
        <fgColor rgb="FFA6E3B7"/>
        <bgColor rgb="FFA6E3B7"/>
      </patternFill>
    </fill>
    <fill>
      <patternFill patternType="solid">
        <fgColor rgb="FFA6E3B6"/>
        <bgColor rgb="FFA6E3B6"/>
      </patternFill>
    </fill>
    <fill>
      <patternFill patternType="solid">
        <fgColor rgb="FF6AA84F"/>
        <bgColor rgb="FF6AA84F"/>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3" fontId="1" numFmtId="0" xfId="0" applyAlignment="1" applyBorder="1" applyFill="1" applyFont="1">
      <alignment horizontal="center" readingOrder="0" vertical="center"/>
    </xf>
    <xf borderId="4" fillId="3" fontId="1" numFmtId="0" xfId="0" applyAlignment="1" applyBorder="1" applyFont="1">
      <alignment horizontal="center" readingOrder="0" shrinkToFit="0" vertical="center" wrapText="1"/>
    </xf>
    <xf borderId="4" fillId="0" fontId="1" numFmtId="0" xfId="0" applyAlignment="1" applyBorder="1" applyFont="1">
      <alignment readingOrder="0"/>
    </xf>
    <xf borderId="4" fillId="0" fontId="1" numFmtId="0" xfId="0" applyAlignment="1" applyBorder="1" applyFont="1">
      <alignment horizontal="center" readingOrder="0"/>
    </xf>
    <xf borderId="0" fillId="0" fontId="1" numFmtId="0" xfId="0" applyAlignment="1" applyFont="1">
      <alignment horizontal="center" readingOrder="0"/>
    </xf>
    <xf borderId="0" fillId="4" fontId="4" numFmtId="0" xfId="0" applyAlignment="1" applyFill="1" applyFont="1">
      <alignment horizontal="center" readingOrder="0" shrinkToFit="0" vertical="center" wrapText="0"/>
    </xf>
    <xf borderId="0" fillId="4" fontId="5" numFmtId="0" xfId="0" applyAlignment="1" applyFont="1">
      <alignment horizontal="center" readingOrder="0" shrinkToFit="0" vertical="center" wrapText="1"/>
    </xf>
    <xf borderId="0" fillId="4" fontId="5" numFmtId="0" xfId="0" applyAlignment="1" applyFont="1">
      <alignment horizontal="center" readingOrder="0" shrinkToFit="0" vertical="center" wrapText="0"/>
    </xf>
    <xf borderId="0" fillId="4" fontId="5" numFmtId="0" xfId="0" applyAlignment="1" applyFont="1">
      <alignment horizontal="center" readingOrder="0" shrinkToFit="0" vertical="bottom" wrapText="0"/>
    </xf>
    <xf borderId="0" fillId="4" fontId="6" numFmtId="0" xfId="0" applyAlignment="1" applyFont="1">
      <alignment horizontal="center" readingOrder="0" shrinkToFit="0" vertical="center" wrapText="1"/>
    </xf>
    <xf borderId="5" fillId="5" fontId="7" numFmtId="0" xfId="0" applyAlignment="1" applyBorder="1" applyFill="1" applyFont="1">
      <alignment horizontal="center" readingOrder="0" shrinkToFit="0" vertical="center" wrapText="1"/>
    </xf>
    <xf borderId="0" fillId="5" fontId="7" numFmtId="0" xfId="0" applyAlignment="1" applyFont="1">
      <alignment horizontal="center" readingOrder="0" vertical="center"/>
    </xf>
    <xf borderId="5" fillId="5" fontId="7" numFmtId="0" xfId="0" applyAlignment="1" applyBorder="1" applyFont="1">
      <alignment horizontal="center" readingOrder="0" vertical="center"/>
    </xf>
    <xf borderId="6" fillId="0" fontId="3" numFmtId="0" xfId="0" applyBorder="1" applyFont="1"/>
    <xf borderId="4" fillId="0" fontId="8" numFmtId="0" xfId="0" applyAlignment="1" applyBorder="1" applyFont="1">
      <alignment horizontal="center" readingOrder="0" shrinkToFit="0" vertical="center" wrapText="0"/>
    </xf>
    <xf borderId="4" fillId="6" fontId="9" numFmtId="10" xfId="0" applyAlignment="1" applyBorder="1" applyFill="1" applyFont="1" applyNumberFormat="1">
      <alignment horizontal="center" shrinkToFit="0" vertical="center" wrapText="0"/>
    </xf>
    <xf borderId="4" fillId="0" fontId="10" numFmtId="0" xfId="0" applyAlignment="1" applyBorder="1" applyFont="1">
      <alignment horizontal="center" readingOrder="0" shrinkToFit="0" vertical="center" wrapText="0"/>
    </xf>
    <xf borderId="4" fillId="7" fontId="10" numFmtId="0" xfId="0" applyAlignment="1" applyBorder="1" applyFill="1" applyFont="1">
      <alignment horizontal="center" readingOrder="0" shrinkToFit="0" vertical="center" wrapText="0"/>
    </xf>
    <xf borderId="4" fillId="0" fontId="8" numFmtId="0" xfId="0" applyAlignment="1" applyBorder="1" applyFont="1">
      <alignment readingOrder="0" shrinkToFit="0" vertical="top" wrapText="1"/>
    </xf>
    <xf borderId="4" fillId="0" fontId="9" numFmtId="0" xfId="0" applyAlignment="1" applyBorder="1" applyFont="1">
      <alignment readingOrder="0" shrinkToFit="0" vertical="top" wrapText="1"/>
    </xf>
    <xf borderId="4" fillId="0" fontId="9" numFmtId="0" xfId="0" applyAlignment="1" applyBorder="1" applyFont="1">
      <alignment horizontal="left" readingOrder="0" shrinkToFit="0" vertical="top" wrapText="1"/>
    </xf>
    <xf borderId="4" fillId="8" fontId="9" numFmtId="0" xfId="0" applyAlignment="1" applyBorder="1" applyFill="1" applyFont="1">
      <alignment horizontal="left" readingOrder="0" shrinkToFit="0" vertical="top" wrapText="1"/>
    </xf>
    <xf borderId="4" fillId="9" fontId="1" numFmtId="0" xfId="0" applyAlignment="1" applyBorder="1" applyFill="1" applyFont="1">
      <alignment horizontal="center" readingOrder="0" vertical="center"/>
    </xf>
    <xf borderId="4" fillId="0" fontId="1" numFmtId="0" xfId="0" applyAlignment="1" applyBorder="1" applyFont="1">
      <alignment readingOrder="0" shrinkToFit="0" vertical="top" wrapText="1"/>
    </xf>
    <xf borderId="4" fillId="0" fontId="1" numFmtId="0" xfId="0" applyBorder="1" applyFont="1"/>
    <xf borderId="4" fillId="8" fontId="9" numFmtId="0" xfId="0" applyAlignment="1" applyBorder="1" applyFont="1">
      <alignment readingOrder="0" shrinkToFit="0" vertical="top" wrapText="1"/>
    </xf>
    <xf borderId="4" fillId="8" fontId="8" numFmtId="0" xfId="0" applyAlignment="1" applyBorder="1" applyFont="1">
      <alignment readingOrder="0" shrinkToFit="0" vertical="top" wrapText="1"/>
    </xf>
    <xf borderId="4" fillId="0" fontId="1" numFmtId="0" xfId="0" applyAlignment="1" applyBorder="1" applyFont="1">
      <alignment readingOrder="0" shrinkToFit="0" wrapText="1"/>
    </xf>
    <xf borderId="4" fillId="7" fontId="11" numFmtId="0" xfId="0" applyAlignment="1" applyBorder="1" applyFont="1">
      <alignment horizontal="center" readingOrder="0" shrinkToFit="0" vertical="center" wrapText="0"/>
    </xf>
    <xf borderId="4" fillId="0" fontId="1" numFmtId="0" xfId="0" applyAlignment="1" applyBorder="1" applyFont="1">
      <alignment horizontal="center" readingOrder="0" vertical="center"/>
    </xf>
    <xf borderId="0" fillId="10" fontId="2" numFmtId="10" xfId="0" applyAlignment="1" applyFill="1" applyFont="1" applyNumberFormat="1">
      <alignment horizontal="center"/>
    </xf>
    <xf borderId="0" fillId="10" fontId="2" numFmtId="0" xfId="0" applyAlignment="1" applyFont="1">
      <alignment horizontal="center"/>
    </xf>
    <xf borderId="4" fillId="11" fontId="9" numFmtId="0" xfId="0" applyAlignment="1" applyBorder="1" applyFill="1" applyFont="1">
      <alignment readingOrder="0" shrinkToFit="0" vertical="top" wrapText="1"/>
    </xf>
    <xf borderId="4" fillId="0" fontId="1" numFmtId="0" xfId="0" applyAlignment="1" applyBorder="1" applyFont="1">
      <alignment readingOrder="0" vertical="top"/>
    </xf>
    <xf borderId="4" fillId="0" fontId="1" numFmtId="0" xfId="0" applyAlignment="1" applyBorder="1" applyFont="1">
      <alignment horizontal="center" readingOrder="0" shrinkToFit="0" vertical="center" wrapText="0"/>
    </xf>
    <xf borderId="0" fillId="0" fontId="12" numFmtId="0" xfId="0" applyAlignment="1" applyFont="1">
      <alignment readingOrder="0" shrinkToFit="0" vertical="bottom" wrapText="0"/>
    </xf>
    <xf borderId="0" fillId="0" fontId="13" numFmtId="0" xfId="0" applyAlignment="1" applyFont="1">
      <alignment shrinkToFit="0" vertical="bottom" wrapText="0"/>
    </xf>
    <xf borderId="0" fillId="12" fontId="14" numFmtId="0" xfId="0" applyAlignment="1" applyFill="1" applyFont="1">
      <alignment readingOrder="0" shrinkToFit="0" vertical="bottom" wrapText="0"/>
    </xf>
    <xf borderId="0" fillId="0" fontId="14"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 numFmtId="0" xfId="0" applyFont="1"/>
    <xf borderId="0" fillId="13" fontId="13" numFmtId="0" xfId="0" applyAlignment="1" applyFill="1" applyFont="1">
      <alignment shrinkToFit="0" vertical="bottom" wrapText="0"/>
    </xf>
    <xf borderId="0" fillId="8" fontId="14" numFmtId="0" xfId="0" applyAlignment="1" applyFont="1">
      <alignment readingOrder="0" shrinkToFit="0" vertical="bottom" wrapText="0"/>
    </xf>
    <xf borderId="0" fillId="8" fontId="13" numFmtId="0" xfId="0" applyAlignment="1" applyFont="1">
      <alignment shrinkToFit="0" vertical="bottom" wrapText="0"/>
    </xf>
    <xf borderId="0" fillId="8" fontId="1" numFmtId="0" xfId="0" applyFont="1"/>
    <xf borderId="7" fillId="0" fontId="15" numFmtId="0" xfId="0" applyAlignment="1" applyBorder="1" applyFont="1">
      <alignment horizontal="center" readingOrder="0" shrinkToFit="0" vertical="center"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0" fillId="0" fontId="15" numFmtId="0" xfId="0" applyAlignment="1" applyFont="1">
      <alignment readingOrder="0" shrinkToFit="0" vertical="bottom" wrapText="0"/>
    </xf>
    <xf borderId="0" fillId="14" fontId="13" numFmtId="0" xfId="0" applyAlignment="1" applyFill="1" applyFont="1">
      <alignment readingOrder="0" shrinkToFit="0" vertical="bottom" wrapText="0"/>
    </xf>
    <xf borderId="15" fillId="15" fontId="16" numFmtId="0" xfId="0" applyBorder="1" applyFill="1" applyFont="1"/>
    <xf borderId="0" fillId="16" fontId="7" numFmtId="0" xfId="0" applyAlignment="1" applyFill="1" applyFont="1">
      <alignment horizontal="center" readingOrder="0" shrinkToFit="0" vertical="center" wrapText="1"/>
    </xf>
    <xf borderId="4" fillId="7" fontId="11" numFmtId="0" xfId="0" applyAlignment="1" applyBorder="1" applyFont="1">
      <alignment horizontal="center" readingOrder="0" shrinkToFit="0" vertical="center" wrapText="1"/>
    </xf>
    <xf borderId="4" fillId="0" fontId="8" numFmtId="0" xfId="0" applyAlignment="1" applyBorder="1" applyFont="1">
      <alignment horizontal="left" readingOrder="0" shrinkToFit="0" vertical="top" wrapText="1"/>
    </xf>
    <xf borderId="4" fillId="8" fontId="8" numFmtId="0" xfId="0" applyAlignment="1" applyBorder="1" applyFont="1">
      <alignment horizontal="left" readingOrder="0" shrinkToFit="0" vertical="top" wrapText="1"/>
    </xf>
    <xf borderId="6" fillId="0" fontId="1" numFmtId="0" xfId="0" applyAlignment="1" applyBorder="1" applyFont="1">
      <alignment readingOrder="0" shrinkToFit="0" vertical="center" wrapText="1"/>
    </xf>
    <xf borderId="6" fillId="0" fontId="1" numFmtId="0" xfId="0" applyAlignment="1" applyBorder="1" applyFont="1">
      <alignment horizontal="center" readingOrder="0" vertical="center"/>
    </xf>
    <xf borderId="4" fillId="0" fontId="1" numFmtId="0" xfId="0" applyAlignment="1" applyBorder="1" applyFont="1">
      <alignment readingOrder="0" shrinkToFit="0" vertical="center" wrapText="1"/>
    </xf>
    <xf borderId="4" fillId="0" fontId="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962025</xdr:colOff>
      <xdr:row>20</xdr:row>
      <xdr:rowOff>200025</xdr:rowOff>
    </xdr:from>
    <xdr:ext cx="4838700" cy="1962150"/>
    <xdr:pic>
      <xdr:nvPicPr>
        <xdr:cNvPr id="0" name="image3.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428625</xdr:colOff>
      <xdr:row>0</xdr:row>
      <xdr:rowOff>4257675</xdr:rowOff>
    </xdr:from>
    <xdr:ext cx="3648075" cy="3076575"/>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34</xdr:row>
      <xdr:rowOff>0</xdr:rowOff>
    </xdr:from>
    <xdr:ext cx="4876800" cy="4343400"/>
    <xdr:pic>
      <xdr:nvPicPr>
        <xdr:cNvPr id="0" name="image1.png" title="Gamba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4.25"/>
    <col customWidth="1" min="4" max="4" width="24.38"/>
    <col customWidth="1" min="5" max="5" width="13.0"/>
    <col customWidth="1" min="6" max="6" width="13.25"/>
  </cols>
  <sheetData>
    <row r="1">
      <c r="A1" s="1" t="s">
        <v>0</v>
      </c>
    </row>
    <row r="2">
      <c r="A2" s="1" t="s">
        <v>1</v>
      </c>
    </row>
    <row r="3">
      <c r="A3" s="1" t="s">
        <v>2</v>
      </c>
    </row>
    <row r="5">
      <c r="A5" s="1" t="s">
        <v>3</v>
      </c>
    </row>
    <row r="7">
      <c r="A7" s="1" t="s">
        <v>4</v>
      </c>
      <c r="B7" s="2" t="s">
        <v>5</v>
      </c>
      <c r="C7" s="3"/>
      <c r="D7" s="3"/>
      <c r="E7" s="3"/>
      <c r="F7" s="4"/>
    </row>
    <row r="8" ht="28.5" customHeight="1">
      <c r="A8" s="1"/>
      <c r="B8" s="5" t="s">
        <v>6</v>
      </c>
      <c r="C8" s="5" t="s">
        <v>7</v>
      </c>
      <c r="D8" s="6" t="s">
        <v>8</v>
      </c>
      <c r="E8" s="6" t="s">
        <v>9</v>
      </c>
      <c r="F8" s="5" t="s">
        <v>10</v>
      </c>
    </row>
    <row r="9">
      <c r="B9" s="7">
        <v>1.0</v>
      </c>
      <c r="C9" s="7" t="s">
        <v>11</v>
      </c>
      <c r="D9" s="8" t="s">
        <v>12</v>
      </c>
      <c r="E9" s="8">
        <v>32.0</v>
      </c>
      <c r="F9" s="7" t="s">
        <v>13</v>
      </c>
    </row>
    <row r="10">
      <c r="B10" s="7">
        <v>2.0</v>
      </c>
      <c r="C10" s="7" t="s">
        <v>14</v>
      </c>
      <c r="D10" s="9" t="s">
        <v>12</v>
      </c>
      <c r="E10" s="8">
        <v>31.0</v>
      </c>
      <c r="F10" s="7" t="s">
        <v>15</v>
      </c>
    </row>
    <row r="11">
      <c r="B11" s="7">
        <v>3.0</v>
      </c>
      <c r="C11" s="7" t="s">
        <v>16</v>
      </c>
      <c r="D11" s="8" t="s">
        <v>17</v>
      </c>
      <c r="E11" s="8">
        <v>29.0</v>
      </c>
      <c r="F11" s="7" t="s">
        <v>18</v>
      </c>
    </row>
    <row r="12">
      <c r="B12" s="7">
        <v>4.0</v>
      </c>
      <c r="C12" s="7" t="s">
        <v>19</v>
      </c>
      <c r="D12" s="8" t="s">
        <v>20</v>
      </c>
      <c r="E12" s="8">
        <v>26.0</v>
      </c>
      <c r="F12" s="7" t="s">
        <v>18</v>
      </c>
    </row>
  </sheetData>
  <mergeCells count="1">
    <mergeCell ref="B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2" max="2" width="8.5"/>
    <col customWidth="1" min="3" max="3" width="16.75"/>
    <col customWidth="1" min="4" max="4" width="16.25"/>
    <col customWidth="1" min="5" max="5" width="40.63"/>
    <col customWidth="1" min="6" max="6" width="32.63"/>
    <col customWidth="1" min="7" max="7" width="33.38"/>
    <col customWidth="1" min="8" max="8" width="33.5"/>
    <col customWidth="1" min="9" max="9" width="34.25"/>
    <col customWidth="1" min="10" max="10" width="29.75"/>
    <col customWidth="1" min="11" max="11" width="32.0"/>
    <col customWidth="1" min="12" max="12" width="9.63"/>
    <col customWidth="1" min="14" max="14" width="21.13"/>
    <col customWidth="1" min="15" max="15" width="21.75"/>
    <col customWidth="1" min="16" max="16" width="16.0"/>
    <col customWidth="1" min="17" max="17" width="27.25"/>
  </cols>
  <sheetData>
    <row r="1">
      <c r="A1" s="10" t="s">
        <v>21</v>
      </c>
      <c r="B1" s="10" t="s">
        <v>22</v>
      </c>
      <c r="C1" s="11" t="s">
        <v>23</v>
      </c>
      <c r="D1" s="12" t="s">
        <v>24</v>
      </c>
      <c r="E1" s="12" t="s">
        <v>25</v>
      </c>
      <c r="F1" s="10" t="s">
        <v>26</v>
      </c>
      <c r="G1" s="13" t="s">
        <v>27</v>
      </c>
      <c r="L1" s="14" t="s">
        <v>28</v>
      </c>
      <c r="N1" s="15" t="s">
        <v>29</v>
      </c>
      <c r="O1" s="15" t="s">
        <v>30</v>
      </c>
      <c r="P1" s="16" t="s">
        <v>31</v>
      </c>
      <c r="Q1" s="17" t="s">
        <v>26</v>
      </c>
    </row>
    <row r="2">
      <c r="G2" s="13">
        <v>5.0</v>
      </c>
      <c r="H2" s="13">
        <v>4.0</v>
      </c>
      <c r="I2" s="13">
        <v>3.0</v>
      </c>
      <c r="J2" s="13">
        <v>2.0</v>
      </c>
      <c r="K2" s="13">
        <v>1.0</v>
      </c>
      <c r="N2" s="18"/>
      <c r="O2" s="18"/>
      <c r="Q2" s="18"/>
    </row>
    <row r="3">
      <c r="A3" s="19">
        <v>1.0</v>
      </c>
      <c r="B3" s="20">
        <f>L3/L10</f>
        <v>0.09375</v>
      </c>
      <c r="C3" s="21" t="s">
        <v>32</v>
      </c>
      <c r="D3" s="22" t="s">
        <v>33</v>
      </c>
      <c r="E3" s="23" t="s">
        <v>34</v>
      </c>
      <c r="F3" s="24" t="s">
        <v>35</v>
      </c>
      <c r="G3" s="25" t="s">
        <v>36</v>
      </c>
      <c r="H3" s="25" t="s">
        <v>37</v>
      </c>
      <c r="I3" s="26" t="s">
        <v>38</v>
      </c>
      <c r="J3" s="25" t="s">
        <v>39</v>
      </c>
      <c r="K3" s="25" t="s">
        <v>40</v>
      </c>
      <c r="L3" s="27">
        <v>3.0</v>
      </c>
      <c r="N3" s="28" t="s">
        <v>41</v>
      </c>
      <c r="O3" s="28" t="s">
        <v>42</v>
      </c>
      <c r="P3" s="29"/>
      <c r="Q3" s="28" t="s">
        <v>43</v>
      </c>
    </row>
    <row r="4">
      <c r="A4" s="19">
        <v>2.0</v>
      </c>
      <c r="B4" s="20">
        <f>L4/L10</f>
        <v>0.125</v>
      </c>
      <c r="C4" s="21" t="s">
        <v>32</v>
      </c>
      <c r="D4" s="22" t="s">
        <v>44</v>
      </c>
      <c r="E4" s="23" t="s">
        <v>45</v>
      </c>
      <c r="F4" s="24" t="s">
        <v>46</v>
      </c>
      <c r="G4" s="24" t="s">
        <v>47</v>
      </c>
      <c r="H4" s="30" t="s">
        <v>48</v>
      </c>
      <c r="I4" s="24" t="s">
        <v>49</v>
      </c>
      <c r="J4" s="24" t="s">
        <v>50</v>
      </c>
      <c r="K4" s="24" t="s">
        <v>51</v>
      </c>
      <c r="L4" s="27">
        <v>4.0</v>
      </c>
      <c r="N4" s="29"/>
      <c r="O4" s="29"/>
      <c r="P4" s="29"/>
      <c r="Q4" s="29"/>
    </row>
    <row r="5">
      <c r="A5" s="19">
        <v>3.0</v>
      </c>
      <c r="B5" s="20">
        <f>L5/L10</f>
        <v>0.15625</v>
      </c>
      <c r="C5" s="21" t="s">
        <v>32</v>
      </c>
      <c r="D5" s="22" t="s">
        <v>52</v>
      </c>
      <c r="E5" s="23" t="s">
        <v>53</v>
      </c>
      <c r="F5" s="24" t="s">
        <v>54</v>
      </c>
      <c r="G5" s="31" t="s">
        <v>55</v>
      </c>
      <c r="H5" s="24" t="s">
        <v>56</v>
      </c>
      <c r="I5" s="24" t="s">
        <v>57</v>
      </c>
      <c r="J5" s="24" t="s">
        <v>58</v>
      </c>
      <c r="K5" s="24" t="s">
        <v>59</v>
      </c>
      <c r="L5" s="27">
        <v>5.0</v>
      </c>
      <c r="N5" s="29"/>
      <c r="O5" s="29"/>
      <c r="P5" s="29"/>
      <c r="Q5" s="28" t="s">
        <v>60</v>
      </c>
    </row>
    <row r="6">
      <c r="A6" s="19">
        <v>4.0</v>
      </c>
      <c r="B6" s="20">
        <f>L6/L10</f>
        <v>0.15625</v>
      </c>
      <c r="C6" s="21" t="s">
        <v>32</v>
      </c>
      <c r="D6" s="22" t="s">
        <v>61</v>
      </c>
      <c r="E6" s="23" t="s">
        <v>62</v>
      </c>
      <c r="F6" s="24" t="s">
        <v>63</v>
      </c>
      <c r="G6" s="30" t="s">
        <v>64</v>
      </c>
      <c r="H6" s="24" t="s">
        <v>65</v>
      </c>
      <c r="I6" s="24" t="s">
        <v>66</v>
      </c>
      <c r="J6" s="24" t="s">
        <v>67</v>
      </c>
      <c r="K6" s="24" t="s">
        <v>68</v>
      </c>
      <c r="L6" s="27">
        <v>5.0</v>
      </c>
      <c r="N6" s="28" t="s">
        <v>69</v>
      </c>
      <c r="O6" s="32" t="s">
        <v>70</v>
      </c>
      <c r="P6" s="29"/>
      <c r="Q6" s="28" t="s">
        <v>71</v>
      </c>
    </row>
    <row r="7">
      <c r="A7" s="19">
        <v>5.0</v>
      </c>
      <c r="B7" s="20">
        <f>L7/L10</f>
        <v>0.15625</v>
      </c>
      <c r="C7" s="21" t="s">
        <v>32</v>
      </c>
      <c r="D7" s="22" t="s">
        <v>72</v>
      </c>
      <c r="E7" s="23" t="s">
        <v>73</v>
      </c>
      <c r="F7" s="23" t="s">
        <v>74</v>
      </c>
      <c r="G7" s="30" t="s">
        <v>75</v>
      </c>
      <c r="H7" s="24" t="s">
        <v>76</v>
      </c>
      <c r="I7" s="24" t="s">
        <v>77</v>
      </c>
      <c r="J7" s="24" t="s">
        <v>78</v>
      </c>
      <c r="K7" s="24" t="s">
        <v>79</v>
      </c>
      <c r="L7" s="27">
        <v>5.0</v>
      </c>
      <c r="N7" s="32" t="s">
        <v>80</v>
      </c>
      <c r="O7" s="28" t="s">
        <v>81</v>
      </c>
      <c r="P7" s="29"/>
      <c r="Q7" s="28" t="s">
        <v>82</v>
      </c>
    </row>
    <row r="8">
      <c r="A8" s="19">
        <v>6.0</v>
      </c>
      <c r="B8" s="20">
        <f>L8/L10</f>
        <v>0.15625</v>
      </c>
      <c r="C8" s="21" t="s">
        <v>32</v>
      </c>
      <c r="D8" s="33" t="s">
        <v>83</v>
      </c>
      <c r="E8" s="23" t="s">
        <v>84</v>
      </c>
      <c r="F8" s="24" t="s">
        <v>85</v>
      </c>
      <c r="G8" s="30" t="s">
        <v>86</v>
      </c>
      <c r="H8" s="24" t="s">
        <v>87</v>
      </c>
      <c r="I8" s="24" t="s">
        <v>88</v>
      </c>
      <c r="J8" s="24" t="s">
        <v>89</v>
      </c>
      <c r="K8" s="24" t="s">
        <v>90</v>
      </c>
      <c r="L8" s="27">
        <v>5.0</v>
      </c>
      <c r="N8" s="29"/>
      <c r="O8" s="29"/>
      <c r="P8" s="29"/>
      <c r="Q8" s="32" t="s">
        <v>91</v>
      </c>
    </row>
    <row r="9">
      <c r="A9" s="19">
        <v>7.0</v>
      </c>
      <c r="B9" s="20">
        <f>L9/L10</f>
        <v>0.15625</v>
      </c>
      <c r="C9" s="21" t="s">
        <v>32</v>
      </c>
      <c r="D9" s="22" t="s">
        <v>92</v>
      </c>
      <c r="E9" s="23" t="s">
        <v>93</v>
      </c>
      <c r="F9" s="24" t="s">
        <v>94</v>
      </c>
      <c r="G9" s="30" t="s">
        <v>95</v>
      </c>
      <c r="H9" s="24" t="s">
        <v>96</v>
      </c>
      <c r="I9" s="24" t="s">
        <v>97</v>
      </c>
      <c r="J9" s="24" t="s">
        <v>98</v>
      </c>
      <c r="K9" s="24" t="s">
        <v>99</v>
      </c>
      <c r="L9" s="27">
        <v>5.0</v>
      </c>
      <c r="N9" s="29"/>
      <c r="O9" s="29"/>
      <c r="P9" s="34" t="s">
        <v>100</v>
      </c>
      <c r="Q9" s="28" t="s">
        <v>101</v>
      </c>
    </row>
    <row r="10">
      <c r="B10" s="35">
        <f>SUM(B3:B9)</f>
        <v>1</v>
      </c>
      <c r="L10" s="36">
        <f>SUM(L3:L9)</f>
        <v>32</v>
      </c>
    </row>
  </sheetData>
  <mergeCells count="12">
    <mergeCell ref="L1:L2"/>
    <mergeCell ref="N1:N2"/>
    <mergeCell ref="O1:O2"/>
    <mergeCell ref="P1:P2"/>
    <mergeCell ref="Q1:Q2"/>
    <mergeCell ref="A1:A2"/>
    <mergeCell ref="B1:B2"/>
    <mergeCell ref="C1:C2"/>
    <mergeCell ref="D1:D2"/>
    <mergeCell ref="E1:E2"/>
    <mergeCell ref="F1:F2"/>
    <mergeCell ref="G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2" max="2" width="8.5"/>
    <col customWidth="1" min="3" max="3" width="16.75"/>
    <col customWidth="1" min="4" max="4" width="16.25"/>
    <col customWidth="1" min="5" max="5" width="40.63"/>
    <col customWidth="1" min="6" max="6" width="32.63"/>
    <col customWidth="1" min="7" max="7" width="33.38"/>
    <col customWidth="1" min="8" max="8" width="33.5"/>
    <col customWidth="1" min="9" max="9" width="34.25"/>
    <col customWidth="1" min="10" max="10" width="29.75"/>
    <col customWidth="1" min="11" max="11" width="32.0"/>
    <col customWidth="1" min="12" max="12" width="9.63"/>
    <col customWidth="1" min="14" max="14" width="19.63"/>
    <col customWidth="1" min="15" max="15" width="23.5"/>
    <col customWidth="1" min="16" max="16" width="16.0"/>
    <col customWidth="1" min="17" max="17" width="27.38"/>
  </cols>
  <sheetData>
    <row r="1">
      <c r="A1" s="10" t="s">
        <v>21</v>
      </c>
      <c r="B1" s="10" t="s">
        <v>22</v>
      </c>
      <c r="C1" s="11" t="s">
        <v>23</v>
      </c>
      <c r="D1" s="12" t="s">
        <v>24</v>
      </c>
      <c r="E1" s="12" t="s">
        <v>25</v>
      </c>
      <c r="F1" s="12" t="s">
        <v>26</v>
      </c>
      <c r="G1" s="13" t="s">
        <v>27</v>
      </c>
      <c r="L1" s="14" t="s">
        <v>28</v>
      </c>
      <c r="N1" s="15" t="s">
        <v>29</v>
      </c>
      <c r="O1" s="15" t="s">
        <v>30</v>
      </c>
      <c r="P1" s="16" t="s">
        <v>31</v>
      </c>
      <c r="Q1" s="17" t="s">
        <v>26</v>
      </c>
    </row>
    <row r="2">
      <c r="G2" s="13">
        <v>5.0</v>
      </c>
      <c r="H2" s="13">
        <v>4.0</v>
      </c>
      <c r="I2" s="13">
        <v>3.0</v>
      </c>
      <c r="J2" s="13">
        <v>2.0</v>
      </c>
      <c r="K2" s="13">
        <v>1.0</v>
      </c>
      <c r="N2" s="18"/>
      <c r="O2" s="18"/>
      <c r="Q2" s="18"/>
    </row>
    <row r="3">
      <c r="A3" s="19">
        <v>1.0</v>
      </c>
      <c r="B3" s="20">
        <f>L3/L10</f>
        <v>0.09677419355</v>
      </c>
      <c r="C3" s="21" t="s">
        <v>32</v>
      </c>
      <c r="D3" s="22" t="s">
        <v>33</v>
      </c>
      <c r="E3" s="23" t="s">
        <v>34</v>
      </c>
      <c r="F3" s="24" t="s">
        <v>35</v>
      </c>
      <c r="G3" s="25" t="s">
        <v>36</v>
      </c>
      <c r="H3" s="25" t="s">
        <v>37</v>
      </c>
      <c r="I3" s="26" t="s">
        <v>38</v>
      </c>
      <c r="J3" s="25" t="s">
        <v>39</v>
      </c>
      <c r="K3" s="25" t="s">
        <v>40</v>
      </c>
      <c r="L3" s="27">
        <v>3.0</v>
      </c>
      <c r="N3" s="28" t="s">
        <v>41</v>
      </c>
      <c r="O3" s="32" t="s">
        <v>102</v>
      </c>
      <c r="P3" s="29"/>
      <c r="Q3" s="28" t="s">
        <v>43</v>
      </c>
    </row>
    <row r="4">
      <c r="A4" s="19">
        <v>2.0</v>
      </c>
      <c r="B4" s="20">
        <f>L4/L10</f>
        <v>0.1612903226</v>
      </c>
      <c r="C4" s="21" t="s">
        <v>32</v>
      </c>
      <c r="D4" s="22" t="s">
        <v>44</v>
      </c>
      <c r="E4" s="23" t="s">
        <v>45</v>
      </c>
      <c r="F4" s="24" t="s">
        <v>46</v>
      </c>
      <c r="G4" s="30" t="s">
        <v>47</v>
      </c>
      <c r="H4" s="24" t="s">
        <v>48</v>
      </c>
      <c r="I4" s="24" t="s">
        <v>49</v>
      </c>
      <c r="J4" s="24" t="s">
        <v>50</v>
      </c>
      <c r="K4" s="24" t="s">
        <v>51</v>
      </c>
      <c r="L4" s="27">
        <v>5.0</v>
      </c>
      <c r="N4" s="29"/>
      <c r="O4" s="29"/>
      <c r="P4" s="29"/>
      <c r="Q4" s="29"/>
    </row>
    <row r="5">
      <c r="A5" s="19">
        <v>3.0</v>
      </c>
      <c r="B5" s="20">
        <f>L5/L10</f>
        <v>0.1612903226</v>
      </c>
      <c r="C5" s="21" t="s">
        <v>32</v>
      </c>
      <c r="D5" s="22" t="s">
        <v>52</v>
      </c>
      <c r="E5" s="23" t="s">
        <v>53</v>
      </c>
      <c r="F5" s="24" t="s">
        <v>54</v>
      </c>
      <c r="G5" s="31" t="s">
        <v>55</v>
      </c>
      <c r="H5" s="24" t="s">
        <v>56</v>
      </c>
      <c r="I5" s="24" t="s">
        <v>57</v>
      </c>
      <c r="J5" s="24" t="s">
        <v>58</v>
      </c>
      <c r="K5" s="24" t="s">
        <v>59</v>
      </c>
      <c r="L5" s="27">
        <v>5.0</v>
      </c>
      <c r="N5" s="29"/>
      <c r="O5" s="29"/>
      <c r="P5" s="29"/>
      <c r="Q5" s="28" t="s">
        <v>103</v>
      </c>
    </row>
    <row r="6">
      <c r="A6" s="19">
        <v>4.0</v>
      </c>
      <c r="B6" s="20">
        <f>L6/L10</f>
        <v>0.1612903226</v>
      </c>
      <c r="C6" s="21" t="s">
        <v>32</v>
      </c>
      <c r="D6" s="22" t="s">
        <v>61</v>
      </c>
      <c r="E6" s="23" t="s">
        <v>62</v>
      </c>
      <c r="F6" s="24" t="s">
        <v>63</v>
      </c>
      <c r="G6" s="30" t="s">
        <v>64</v>
      </c>
      <c r="H6" s="24" t="s">
        <v>65</v>
      </c>
      <c r="I6" s="24" t="s">
        <v>66</v>
      </c>
      <c r="J6" s="24" t="s">
        <v>67</v>
      </c>
      <c r="K6" s="24" t="s">
        <v>68</v>
      </c>
      <c r="L6" s="27">
        <v>5.0</v>
      </c>
      <c r="N6" s="28" t="s">
        <v>69</v>
      </c>
      <c r="O6" s="32" t="s">
        <v>104</v>
      </c>
      <c r="P6" s="29"/>
      <c r="Q6" s="28" t="s">
        <v>71</v>
      </c>
    </row>
    <row r="7">
      <c r="A7" s="19">
        <v>5.0</v>
      </c>
      <c r="B7" s="20">
        <f>L7/L10</f>
        <v>0.1290322581</v>
      </c>
      <c r="C7" s="21" t="s">
        <v>32</v>
      </c>
      <c r="D7" s="22" t="s">
        <v>72</v>
      </c>
      <c r="E7" s="23" t="s">
        <v>73</v>
      </c>
      <c r="F7" s="23" t="s">
        <v>74</v>
      </c>
      <c r="G7" s="24" t="s">
        <v>75</v>
      </c>
      <c r="H7" s="30" t="s">
        <v>76</v>
      </c>
      <c r="I7" s="24" t="s">
        <v>77</v>
      </c>
      <c r="J7" s="24" t="s">
        <v>78</v>
      </c>
      <c r="K7" s="24" t="s">
        <v>79</v>
      </c>
      <c r="L7" s="27">
        <v>4.0</v>
      </c>
      <c r="N7" s="32" t="s">
        <v>80</v>
      </c>
      <c r="O7" s="28" t="s">
        <v>105</v>
      </c>
      <c r="P7" s="29"/>
      <c r="Q7" s="28" t="s">
        <v>82</v>
      </c>
    </row>
    <row r="8">
      <c r="A8" s="19">
        <v>6.0</v>
      </c>
      <c r="B8" s="20">
        <f>L8/L10</f>
        <v>0.1290322581</v>
      </c>
      <c r="C8" s="21" t="s">
        <v>32</v>
      </c>
      <c r="D8" s="22" t="s">
        <v>83</v>
      </c>
      <c r="E8" s="23" t="s">
        <v>84</v>
      </c>
      <c r="F8" s="24" t="s">
        <v>85</v>
      </c>
      <c r="G8" s="37" t="s">
        <v>86</v>
      </c>
      <c r="H8" s="30" t="s">
        <v>87</v>
      </c>
      <c r="I8" s="24" t="s">
        <v>88</v>
      </c>
      <c r="J8" s="24" t="s">
        <v>89</v>
      </c>
      <c r="K8" s="24" t="s">
        <v>90</v>
      </c>
      <c r="L8" s="27">
        <v>4.0</v>
      </c>
      <c r="N8" s="29"/>
      <c r="O8" s="29"/>
      <c r="P8" s="29"/>
      <c r="Q8" s="28" t="s">
        <v>106</v>
      </c>
    </row>
    <row r="9">
      <c r="A9" s="19">
        <v>7.0</v>
      </c>
      <c r="B9" s="20">
        <f>L9/L10</f>
        <v>0.1612903226</v>
      </c>
      <c r="C9" s="21" t="s">
        <v>32</v>
      </c>
      <c r="D9" s="22" t="s">
        <v>92</v>
      </c>
      <c r="E9" s="23" t="s">
        <v>93</v>
      </c>
      <c r="F9" s="24" t="s">
        <v>94</v>
      </c>
      <c r="G9" s="30" t="s">
        <v>95</v>
      </c>
      <c r="H9" s="24" t="s">
        <v>96</v>
      </c>
      <c r="I9" s="24" t="s">
        <v>97</v>
      </c>
      <c r="J9" s="24" t="s">
        <v>98</v>
      </c>
      <c r="K9" s="24" t="s">
        <v>99</v>
      </c>
      <c r="L9" s="27">
        <v>5.0</v>
      </c>
      <c r="N9" s="29"/>
      <c r="O9" s="29"/>
      <c r="P9" s="34" t="s">
        <v>107</v>
      </c>
      <c r="Q9" s="32" t="s">
        <v>108</v>
      </c>
    </row>
    <row r="10">
      <c r="B10" s="35">
        <f>SUM(B3:B9)</f>
        <v>1</v>
      </c>
      <c r="L10" s="36">
        <f>SUM(L3:L9)</f>
        <v>31</v>
      </c>
    </row>
  </sheetData>
  <mergeCells count="12">
    <mergeCell ref="L1:L2"/>
    <mergeCell ref="N1:N2"/>
    <mergeCell ref="O1:O2"/>
    <mergeCell ref="P1:P2"/>
    <mergeCell ref="Q1:Q2"/>
    <mergeCell ref="A1:A2"/>
    <mergeCell ref="B1:B2"/>
    <mergeCell ref="C1:C2"/>
    <mergeCell ref="D1:D2"/>
    <mergeCell ref="E1:E2"/>
    <mergeCell ref="F1:F2"/>
    <mergeCell ref="G1:K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2" max="2" width="8.5"/>
    <col customWidth="1" min="3" max="3" width="16.75"/>
    <col customWidth="1" min="4" max="4" width="16.25"/>
    <col customWidth="1" min="5" max="5" width="40.63"/>
    <col customWidth="1" min="6" max="6" width="32.63"/>
    <col customWidth="1" min="7" max="7" width="33.38"/>
    <col customWidth="1" min="8" max="8" width="33.5"/>
    <col customWidth="1" min="9" max="9" width="34.25"/>
    <col customWidth="1" min="10" max="10" width="29.75"/>
    <col customWidth="1" min="11" max="11" width="32.0"/>
    <col customWidth="1" min="12" max="12" width="9.63"/>
    <col customWidth="1" min="14" max="14" width="18.38"/>
    <col customWidth="1" min="15" max="15" width="21.88"/>
    <col customWidth="1" min="16" max="16" width="16.0"/>
    <col customWidth="1" min="17" max="17" width="27.75"/>
  </cols>
  <sheetData>
    <row r="1">
      <c r="A1" s="10" t="s">
        <v>21</v>
      </c>
      <c r="B1" s="10" t="s">
        <v>22</v>
      </c>
      <c r="C1" s="11" t="s">
        <v>23</v>
      </c>
      <c r="D1" s="12" t="s">
        <v>24</v>
      </c>
      <c r="E1" s="12" t="s">
        <v>25</v>
      </c>
      <c r="F1" s="12" t="s">
        <v>26</v>
      </c>
      <c r="G1" s="13" t="s">
        <v>27</v>
      </c>
      <c r="L1" s="14" t="s">
        <v>28</v>
      </c>
      <c r="N1" s="15" t="s">
        <v>29</v>
      </c>
      <c r="O1" s="15" t="s">
        <v>30</v>
      </c>
      <c r="P1" s="16" t="s">
        <v>31</v>
      </c>
      <c r="Q1" s="17" t="s">
        <v>26</v>
      </c>
    </row>
    <row r="2">
      <c r="G2" s="13">
        <v>5.0</v>
      </c>
      <c r="H2" s="13">
        <v>4.0</v>
      </c>
      <c r="I2" s="13">
        <v>3.0</v>
      </c>
      <c r="J2" s="13">
        <v>2.0</v>
      </c>
      <c r="K2" s="13">
        <v>1.0</v>
      </c>
      <c r="N2" s="18"/>
      <c r="O2" s="18"/>
      <c r="Q2" s="18"/>
    </row>
    <row r="3">
      <c r="A3" s="19">
        <v>1.0</v>
      </c>
      <c r="B3" s="20">
        <f>L3/L10</f>
        <v>0.1379310345</v>
      </c>
      <c r="C3" s="21" t="s">
        <v>32</v>
      </c>
      <c r="D3" s="22" t="s">
        <v>33</v>
      </c>
      <c r="E3" s="23" t="s">
        <v>34</v>
      </c>
      <c r="F3" s="24" t="s">
        <v>35</v>
      </c>
      <c r="G3" s="25" t="s">
        <v>36</v>
      </c>
      <c r="H3" s="26" t="s">
        <v>37</v>
      </c>
      <c r="I3" s="25" t="s">
        <v>38</v>
      </c>
      <c r="J3" s="25" t="s">
        <v>39</v>
      </c>
      <c r="K3" s="25" t="s">
        <v>40</v>
      </c>
      <c r="L3" s="27">
        <v>4.0</v>
      </c>
      <c r="N3" s="28" t="s">
        <v>41</v>
      </c>
      <c r="O3" s="32" t="s">
        <v>109</v>
      </c>
      <c r="P3" s="29"/>
      <c r="Q3" s="28" t="s">
        <v>43</v>
      </c>
    </row>
    <row r="4">
      <c r="A4" s="19">
        <v>2.0</v>
      </c>
      <c r="B4" s="20">
        <f>L4/L10</f>
        <v>0.1379310345</v>
      </c>
      <c r="C4" s="21" t="s">
        <v>32</v>
      </c>
      <c r="D4" s="22" t="s">
        <v>44</v>
      </c>
      <c r="E4" s="23" t="s">
        <v>45</v>
      </c>
      <c r="F4" s="24" t="s">
        <v>46</v>
      </c>
      <c r="G4" s="24" t="s">
        <v>47</v>
      </c>
      <c r="H4" s="30" t="s">
        <v>48</v>
      </c>
      <c r="I4" s="24" t="s">
        <v>49</v>
      </c>
      <c r="J4" s="24" t="s">
        <v>50</v>
      </c>
      <c r="K4" s="24" t="s">
        <v>51</v>
      </c>
      <c r="L4" s="27">
        <v>4.0</v>
      </c>
      <c r="N4" s="29"/>
      <c r="O4" s="29"/>
      <c r="P4" s="29"/>
      <c r="Q4" s="29"/>
    </row>
    <row r="5">
      <c r="A5" s="19">
        <v>3.0</v>
      </c>
      <c r="B5" s="20">
        <f>L5/L10</f>
        <v>0.1379310345</v>
      </c>
      <c r="C5" s="21" t="s">
        <v>32</v>
      </c>
      <c r="D5" s="22" t="s">
        <v>52</v>
      </c>
      <c r="E5" s="23" t="s">
        <v>53</v>
      </c>
      <c r="F5" s="24" t="s">
        <v>54</v>
      </c>
      <c r="G5" s="23" t="s">
        <v>55</v>
      </c>
      <c r="H5" s="30" t="s">
        <v>56</v>
      </c>
      <c r="I5" s="24" t="s">
        <v>57</v>
      </c>
      <c r="J5" s="24" t="s">
        <v>58</v>
      </c>
      <c r="K5" s="24" t="s">
        <v>59</v>
      </c>
      <c r="L5" s="27">
        <v>4.0</v>
      </c>
      <c r="N5" s="29"/>
      <c r="O5" s="29"/>
      <c r="P5" s="29"/>
      <c r="Q5" s="28" t="s">
        <v>110</v>
      </c>
    </row>
    <row r="6">
      <c r="A6" s="19">
        <v>4.0</v>
      </c>
      <c r="B6" s="20">
        <f>L6/L10</f>
        <v>0.1379310345</v>
      </c>
      <c r="C6" s="21" t="s">
        <v>32</v>
      </c>
      <c r="D6" s="22" t="s">
        <v>61</v>
      </c>
      <c r="E6" s="23" t="s">
        <v>62</v>
      </c>
      <c r="F6" s="24" t="s">
        <v>63</v>
      </c>
      <c r="G6" s="24" t="s">
        <v>64</v>
      </c>
      <c r="H6" s="30" t="s">
        <v>65</v>
      </c>
      <c r="I6" s="24" t="s">
        <v>66</v>
      </c>
      <c r="J6" s="24" t="s">
        <v>67</v>
      </c>
      <c r="K6" s="24" t="s">
        <v>68</v>
      </c>
      <c r="L6" s="27">
        <v>4.0</v>
      </c>
      <c r="N6" s="28" t="s">
        <v>69</v>
      </c>
      <c r="O6" s="28" t="s">
        <v>111</v>
      </c>
      <c r="P6" s="29"/>
      <c r="Q6" s="28" t="s">
        <v>71</v>
      </c>
    </row>
    <row r="7">
      <c r="A7" s="19">
        <v>5.0</v>
      </c>
      <c r="B7" s="20">
        <f>L7/L10</f>
        <v>0.1724137931</v>
      </c>
      <c r="C7" s="21" t="s">
        <v>32</v>
      </c>
      <c r="D7" s="22" t="s">
        <v>72</v>
      </c>
      <c r="E7" s="23" t="s">
        <v>73</v>
      </c>
      <c r="F7" s="23" t="s">
        <v>74</v>
      </c>
      <c r="G7" s="30" t="s">
        <v>75</v>
      </c>
      <c r="H7" s="24" t="s">
        <v>76</v>
      </c>
      <c r="I7" s="24" t="s">
        <v>77</v>
      </c>
      <c r="J7" s="24" t="s">
        <v>78</v>
      </c>
      <c r="K7" s="24" t="s">
        <v>79</v>
      </c>
      <c r="L7" s="27">
        <v>5.0</v>
      </c>
      <c r="N7" s="32" t="s">
        <v>80</v>
      </c>
      <c r="O7" s="28" t="s">
        <v>112</v>
      </c>
      <c r="P7" s="29"/>
      <c r="Q7" s="28" t="s">
        <v>82</v>
      </c>
    </row>
    <row r="8">
      <c r="A8" s="19">
        <v>6.0</v>
      </c>
      <c r="B8" s="20">
        <f>L8/L10</f>
        <v>0.1724137931</v>
      </c>
      <c r="C8" s="21" t="s">
        <v>32</v>
      </c>
      <c r="D8" s="22" t="s">
        <v>83</v>
      </c>
      <c r="E8" s="23" t="s">
        <v>84</v>
      </c>
      <c r="F8" s="24" t="s">
        <v>85</v>
      </c>
      <c r="G8" s="30" t="s">
        <v>86</v>
      </c>
      <c r="H8" s="24" t="s">
        <v>87</v>
      </c>
      <c r="I8" s="24" t="s">
        <v>88</v>
      </c>
      <c r="J8" s="24" t="s">
        <v>89</v>
      </c>
      <c r="K8" s="24" t="s">
        <v>90</v>
      </c>
      <c r="L8" s="27">
        <v>5.0</v>
      </c>
      <c r="N8" s="29"/>
      <c r="O8" s="29"/>
      <c r="P8" s="29"/>
      <c r="Q8" s="29"/>
    </row>
    <row r="9">
      <c r="A9" s="19">
        <v>7.0</v>
      </c>
      <c r="B9" s="20">
        <f>L9/L10</f>
        <v>0.1034482759</v>
      </c>
      <c r="C9" s="21" t="s">
        <v>32</v>
      </c>
      <c r="D9" s="22" t="s">
        <v>92</v>
      </c>
      <c r="E9" s="23" t="s">
        <v>93</v>
      </c>
      <c r="F9" s="24" t="s">
        <v>94</v>
      </c>
      <c r="G9" s="24" t="s">
        <v>95</v>
      </c>
      <c r="H9" s="24" t="s">
        <v>96</v>
      </c>
      <c r="I9" s="30" t="s">
        <v>97</v>
      </c>
      <c r="J9" s="24" t="s">
        <v>98</v>
      </c>
      <c r="K9" s="24" t="s">
        <v>99</v>
      </c>
      <c r="L9" s="27">
        <v>3.0</v>
      </c>
      <c r="N9" s="29"/>
      <c r="O9" s="29"/>
      <c r="P9" s="34" t="s">
        <v>113</v>
      </c>
      <c r="Q9" s="28" t="s">
        <v>114</v>
      </c>
    </row>
    <row r="10">
      <c r="B10" s="35">
        <f>SUM(B3:B9)</f>
        <v>1</v>
      </c>
      <c r="L10" s="36">
        <f>SUM(L3:L9)</f>
        <v>29</v>
      </c>
    </row>
  </sheetData>
  <mergeCells count="12">
    <mergeCell ref="L1:L2"/>
    <mergeCell ref="N1:N2"/>
    <mergeCell ref="O1:O2"/>
    <mergeCell ref="P1:P2"/>
    <mergeCell ref="Q1:Q2"/>
    <mergeCell ref="A1:A2"/>
    <mergeCell ref="B1:B2"/>
    <mergeCell ref="C1:C2"/>
    <mergeCell ref="D1:D2"/>
    <mergeCell ref="E1:E2"/>
    <mergeCell ref="F1:F2"/>
    <mergeCell ref="G1:K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2" max="2" width="8.5"/>
    <col customWidth="1" min="3" max="3" width="16.75"/>
    <col customWidth="1" min="4" max="4" width="16.25"/>
    <col customWidth="1" min="5" max="5" width="40.63"/>
    <col customWidth="1" min="6" max="6" width="32.63"/>
    <col customWidth="1" min="7" max="7" width="33.38"/>
    <col customWidth="1" min="8" max="8" width="33.5"/>
    <col customWidth="1" min="9" max="9" width="34.25"/>
    <col customWidth="1" min="10" max="10" width="29.75"/>
    <col customWidth="1" min="11" max="11" width="32.0"/>
    <col customWidth="1" min="12" max="12" width="9.63"/>
    <col customWidth="1" min="14" max="14" width="19.75"/>
    <col customWidth="1" min="15" max="15" width="27.0"/>
    <col customWidth="1" min="16" max="16" width="16.0"/>
    <col customWidth="1" min="17" max="17" width="27.25"/>
  </cols>
  <sheetData>
    <row r="1">
      <c r="A1" s="10" t="s">
        <v>21</v>
      </c>
      <c r="B1" s="10" t="s">
        <v>22</v>
      </c>
      <c r="C1" s="11" t="s">
        <v>23</v>
      </c>
      <c r="D1" s="12" t="s">
        <v>24</v>
      </c>
      <c r="E1" s="12" t="s">
        <v>25</v>
      </c>
      <c r="F1" s="12" t="s">
        <v>26</v>
      </c>
      <c r="G1" s="13" t="s">
        <v>27</v>
      </c>
      <c r="L1" s="14" t="s">
        <v>28</v>
      </c>
      <c r="N1" s="15" t="s">
        <v>29</v>
      </c>
      <c r="O1" s="15" t="s">
        <v>30</v>
      </c>
      <c r="P1" s="16" t="s">
        <v>31</v>
      </c>
      <c r="Q1" s="17" t="s">
        <v>26</v>
      </c>
    </row>
    <row r="2">
      <c r="G2" s="13">
        <v>5.0</v>
      </c>
      <c r="H2" s="13">
        <v>4.0</v>
      </c>
      <c r="I2" s="13">
        <v>3.0</v>
      </c>
      <c r="J2" s="13">
        <v>2.0</v>
      </c>
      <c r="K2" s="13">
        <v>1.0</v>
      </c>
      <c r="N2" s="18"/>
      <c r="O2" s="18"/>
      <c r="Q2" s="18"/>
    </row>
    <row r="3">
      <c r="A3" s="19">
        <v>1.0</v>
      </c>
      <c r="B3" s="20">
        <f>L3/L10</f>
        <v>0.1538461538</v>
      </c>
      <c r="C3" s="21" t="s">
        <v>32</v>
      </c>
      <c r="D3" s="22" t="s">
        <v>33</v>
      </c>
      <c r="E3" s="23" t="s">
        <v>34</v>
      </c>
      <c r="F3" s="24" t="s">
        <v>35</v>
      </c>
      <c r="G3" s="25" t="s">
        <v>36</v>
      </c>
      <c r="H3" s="26" t="s">
        <v>37</v>
      </c>
      <c r="I3" s="25" t="s">
        <v>38</v>
      </c>
      <c r="J3" s="25" t="s">
        <v>39</v>
      </c>
      <c r="K3" s="25" t="s">
        <v>40</v>
      </c>
      <c r="L3" s="27">
        <v>4.0</v>
      </c>
      <c r="N3" s="28" t="s">
        <v>41</v>
      </c>
      <c r="O3" s="32" t="s">
        <v>115</v>
      </c>
      <c r="P3" s="29"/>
      <c r="Q3" s="28" t="s">
        <v>43</v>
      </c>
    </row>
    <row r="4">
      <c r="A4" s="19">
        <v>2.0</v>
      </c>
      <c r="B4" s="20">
        <f>L4/L10</f>
        <v>0.1538461538</v>
      </c>
      <c r="C4" s="21" t="s">
        <v>32</v>
      </c>
      <c r="D4" s="22" t="s">
        <v>44</v>
      </c>
      <c r="E4" s="23" t="s">
        <v>45</v>
      </c>
      <c r="F4" s="24" t="s">
        <v>46</v>
      </c>
      <c r="G4" s="24" t="s">
        <v>47</v>
      </c>
      <c r="H4" s="30" t="s">
        <v>48</v>
      </c>
      <c r="I4" s="24" t="s">
        <v>49</v>
      </c>
      <c r="J4" s="24" t="s">
        <v>50</v>
      </c>
      <c r="K4" s="24" t="s">
        <v>51</v>
      </c>
      <c r="L4" s="27">
        <v>4.0</v>
      </c>
      <c r="N4" s="29"/>
      <c r="O4" s="29"/>
      <c r="P4" s="29"/>
      <c r="Q4" s="29"/>
    </row>
    <row r="5">
      <c r="A5" s="19">
        <v>3.0</v>
      </c>
      <c r="B5" s="20">
        <f>L5/L10</f>
        <v>0.1153846154</v>
      </c>
      <c r="C5" s="21" t="s">
        <v>32</v>
      </c>
      <c r="D5" s="22" t="s">
        <v>52</v>
      </c>
      <c r="E5" s="23" t="s">
        <v>53</v>
      </c>
      <c r="F5" s="24" t="s">
        <v>54</v>
      </c>
      <c r="G5" s="23" t="s">
        <v>55</v>
      </c>
      <c r="H5" s="24" t="s">
        <v>56</v>
      </c>
      <c r="I5" s="30" t="s">
        <v>57</v>
      </c>
      <c r="J5" s="24" t="s">
        <v>58</v>
      </c>
      <c r="K5" s="24" t="s">
        <v>59</v>
      </c>
      <c r="L5" s="27">
        <v>3.0</v>
      </c>
      <c r="N5" s="29"/>
      <c r="O5" s="29"/>
      <c r="P5" s="29"/>
      <c r="Q5" s="28" t="s">
        <v>116</v>
      </c>
    </row>
    <row r="6">
      <c r="A6" s="19">
        <v>4.0</v>
      </c>
      <c r="B6" s="20">
        <f>L6/L10</f>
        <v>0.1538461538</v>
      </c>
      <c r="C6" s="21" t="s">
        <v>32</v>
      </c>
      <c r="D6" s="22" t="s">
        <v>61</v>
      </c>
      <c r="E6" s="23" t="s">
        <v>62</v>
      </c>
      <c r="F6" s="24" t="s">
        <v>63</v>
      </c>
      <c r="G6" s="24" t="s">
        <v>64</v>
      </c>
      <c r="H6" s="30" t="s">
        <v>65</v>
      </c>
      <c r="I6" s="24" t="s">
        <v>66</v>
      </c>
      <c r="J6" s="24" t="s">
        <v>67</v>
      </c>
      <c r="K6" s="24" t="s">
        <v>68</v>
      </c>
      <c r="L6" s="27">
        <v>4.0</v>
      </c>
      <c r="N6" s="28" t="s">
        <v>69</v>
      </c>
      <c r="O6" s="38" t="s">
        <v>117</v>
      </c>
      <c r="P6" s="29"/>
      <c r="Q6" s="28" t="s">
        <v>71</v>
      </c>
    </row>
    <row r="7">
      <c r="A7" s="19">
        <v>5.0</v>
      </c>
      <c r="B7" s="20">
        <f>L7/L10</f>
        <v>0.1923076923</v>
      </c>
      <c r="C7" s="21" t="s">
        <v>32</v>
      </c>
      <c r="D7" s="22" t="s">
        <v>72</v>
      </c>
      <c r="E7" s="23" t="s">
        <v>73</v>
      </c>
      <c r="F7" s="23" t="s">
        <v>74</v>
      </c>
      <c r="G7" s="30" t="s">
        <v>75</v>
      </c>
      <c r="H7" s="24" t="s">
        <v>76</v>
      </c>
      <c r="I7" s="24" t="s">
        <v>77</v>
      </c>
      <c r="J7" s="24" t="s">
        <v>78</v>
      </c>
      <c r="K7" s="24" t="s">
        <v>79</v>
      </c>
      <c r="L7" s="27">
        <v>5.0</v>
      </c>
      <c r="N7" s="32" t="s">
        <v>80</v>
      </c>
      <c r="O7" s="38" t="s">
        <v>118</v>
      </c>
      <c r="P7" s="29"/>
      <c r="Q7" s="28" t="s">
        <v>82</v>
      </c>
    </row>
    <row r="8">
      <c r="A8" s="19">
        <v>6.0</v>
      </c>
      <c r="B8" s="20">
        <f>L8/L10</f>
        <v>0.1538461538</v>
      </c>
      <c r="C8" s="21" t="s">
        <v>32</v>
      </c>
      <c r="D8" s="22" t="s">
        <v>83</v>
      </c>
      <c r="E8" s="23" t="s">
        <v>84</v>
      </c>
      <c r="F8" s="24" t="s">
        <v>85</v>
      </c>
      <c r="G8" s="24" t="s">
        <v>86</v>
      </c>
      <c r="H8" s="30" t="s">
        <v>87</v>
      </c>
      <c r="I8" s="24" t="s">
        <v>88</v>
      </c>
      <c r="J8" s="24" t="s">
        <v>89</v>
      </c>
      <c r="K8" s="24" t="s">
        <v>90</v>
      </c>
      <c r="L8" s="27">
        <v>4.0</v>
      </c>
      <c r="N8" s="29"/>
      <c r="O8" s="29"/>
      <c r="P8" s="29"/>
      <c r="Q8" s="28" t="s">
        <v>119</v>
      </c>
      <c r="S8" s="1"/>
    </row>
    <row r="9">
      <c r="A9" s="19">
        <v>7.0</v>
      </c>
      <c r="B9" s="20">
        <f>L9/L10</f>
        <v>0.07692307692</v>
      </c>
      <c r="C9" s="21" t="s">
        <v>32</v>
      </c>
      <c r="D9" s="22" t="s">
        <v>92</v>
      </c>
      <c r="E9" s="23" t="s">
        <v>93</v>
      </c>
      <c r="F9" s="24" t="s">
        <v>94</v>
      </c>
      <c r="G9" s="24" t="s">
        <v>95</v>
      </c>
      <c r="H9" s="24" t="s">
        <v>96</v>
      </c>
      <c r="I9" s="24" t="s">
        <v>97</v>
      </c>
      <c r="J9" s="30" t="s">
        <v>98</v>
      </c>
      <c r="K9" s="24" t="s">
        <v>99</v>
      </c>
      <c r="L9" s="27">
        <v>2.0</v>
      </c>
      <c r="N9" s="29"/>
      <c r="O9" s="29"/>
      <c r="P9" s="39" t="s">
        <v>120</v>
      </c>
      <c r="Q9" s="32" t="s">
        <v>121</v>
      </c>
    </row>
    <row r="10">
      <c r="B10" s="35">
        <f>SUM(B3:B9)</f>
        <v>1</v>
      </c>
      <c r="L10" s="36">
        <f>SUM(L3:L9)</f>
        <v>26</v>
      </c>
    </row>
  </sheetData>
  <mergeCells count="12">
    <mergeCell ref="L1:L2"/>
    <mergeCell ref="N1:N2"/>
    <mergeCell ref="O1:O2"/>
    <mergeCell ref="P1:P2"/>
    <mergeCell ref="Q1:Q2"/>
    <mergeCell ref="A1:A2"/>
    <mergeCell ref="B1:B2"/>
    <mergeCell ref="C1:C2"/>
    <mergeCell ref="D1:D2"/>
    <mergeCell ref="E1:E2"/>
    <mergeCell ref="F1:F2"/>
    <mergeCell ref="G1:K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3.25"/>
    <col customWidth="1" min="17" max="17" width="5.63"/>
  </cols>
  <sheetData>
    <row r="1">
      <c r="A1" s="40" t="s">
        <v>122</v>
      </c>
      <c r="E1" s="41"/>
      <c r="F1" s="41"/>
      <c r="G1" s="41"/>
      <c r="H1" s="41"/>
      <c r="I1" s="41"/>
      <c r="J1" s="41"/>
      <c r="K1" s="41"/>
      <c r="L1" s="41"/>
      <c r="M1" s="41"/>
      <c r="N1" s="41"/>
      <c r="O1" s="41"/>
      <c r="P1" s="41"/>
      <c r="Q1" s="41"/>
      <c r="R1" s="41"/>
      <c r="S1" s="41"/>
      <c r="T1" s="41"/>
      <c r="U1" s="41"/>
      <c r="V1" s="41"/>
      <c r="W1" s="41"/>
      <c r="X1" s="41"/>
    </row>
    <row r="2">
      <c r="A2" s="41"/>
      <c r="B2" s="41"/>
      <c r="C2" s="41"/>
      <c r="D2" s="41"/>
      <c r="E2" s="41"/>
      <c r="F2" s="41"/>
      <c r="G2" s="41"/>
      <c r="H2" s="41"/>
      <c r="I2" s="41"/>
      <c r="J2" s="41"/>
      <c r="K2" s="41"/>
      <c r="L2" s="41"/>
      <c r="M2" s="41"/>
      <c r="N2" s="41"/>
      <c r="O2" s="41"/>
      <c r="P2" s="41"/>
      <c r="Q2" s="41"/>
      <c r="R2" s="41"/>
      <c r="S2" s="41"/>
      <c r="T2" s="41"/>
      <c r="U2" s="41"/>
      <c r="V2" s="41"/>
      <c r="W2" s="41"/>
      <c r="X2" s="41"/>
    </row>
    <row r="3">
      <c r="A3" s="42" t="s">
        <v>123</v>
      </c>
      <c r="B3" s="42" t="s">
        <v>124</v>
      </c>
      <c r="C3" s="42" t="s">
        <v>125</v>
      </c>
      <c r="D3" s="43" t="s">
        <v>126</v>
      </c>
      <c r="E3" s="42" t="s">
        <v>127</v>
      </c>
      <c r="F3" s="42" t="s">
        <v>128</v>
      </c>
      <c r="G3" s="42" t="s">
        <v>129</v>
      </c>
      <c r="H3" s="42" t="s">
        <v>130</v>
      </c>
      <c r="I3" s="41"/>
      <c r="J3" s="43" t="s">
        <v>131</v>
      </c>
      <c r="K3" s="43" t="s">
        <v>132</v>
      </c>
      <c r="L3" s="43" t="s">
        <v>133</v>
      </c>
      <c r="M3" s="43" t="s">
        <v>134</v>
      </c>
      <c r="N3" s="43" t="s">
        <v>135</v>
      </c>
      <c r="O3" s="41"/>
      <c r="P3" s="43" t="s">
        <v>136</v>
      </c>
      <c r="Q3" s="43" t="s">
        <v>137</v>
      </c>
      <c r="R3" s="43" t="s">
        <v>138</v>
      </c>
      <c r="S3" s="43" t="s">
        <v>139</v>
      </c>
      <c r="T3" s="43" t="s">
        <v>140</v>
      </c>
      <c r="U3" s="43" t="s">
        <v>141</v>
      </c>
      <c r="V3" s="41"/>
      <c r="W3" s="43" t="s">
        <v>142</v>
      </c>
      <c r="X3" s="43" t="s">
        <v>143</v>
      </c>
    </row>
    <row r="4">
      <c r="A4" s="44" t="s">
        <v>33</v>
      </c>
      <c r="B4" s="45">
        <v>0.2</v>
      </c>
      <c r="C4" s="44" t="s">
        <v>144</v>
      </c>
      <c r="D4" s="41"/>
      <c r="E4" s="45">
        <v>3.0</v>
      </c>
      <c r="F4" s="45">
        <v>3.0</v>
      </c>
      <c r="G4" s="45">
        <v>4.0</v>
      </c>
      <c r="H4" s="45">
        <v>4.0</v>
      </c>
      <c r="I4" s="41"/>
      <c r="J4" s="41"/>
      <c r="K4" s="46">
        <f t="shared" ref="K4:K10" si="2">E4/P4</f>
        <v>0.4242640687</v>
      </c>
      <c r="L4" s="46">
        <f t="shared" ref="L4:L10" si="3">F4/P4</f>
        <v>0.4242640687</v>
      </c>
      <c r="M4" s="46">
        <f t="shared" ref="M4:M10" si="4">G4/P4</f>
        <v>0.5656854249</v>
      </c>
      <c r="N4" s="46">
        <f t="shared" ref="N4:N10" si="5">H4/P4</f>
        <v>0.5656854249</v>
      </c>
      <c r="P4" s="46">
        <f t="shared" ref="P4:P10" si="6">SQRT(POWER(E4,2)+POWER(F4,2)+POWER(G4,2)+POWER(H4,2))</f>
        <v>7.071067812</v>
      </c>
      <c r="R4" s="46">
        <f t="shared" ref="R4:U4" si="1">$B$4*K4</f>
        <v>0.08485281374</v>
      </c>
      <c r="S4" s="46">
        <f t="shared" si="1"/>
        <v>0.08485281374</v>
      </c>
      <c r="T4" s="46">
        <f t="shared" si="1"/>
        <v>0.113137085</v>
      </c>
      <c r="U4" s="46">
        <f t="shared" si="1"/>
        <v>0.113137085</v>
      </c>
      <c r="W4" s="46">
        <f t="shared" ref="W4:W10" si="8">MAX(R4:U4)</f>
        <v>0.113137085</v>
      </c>
      <c r="X4" s="46">
        <f t="shared" ref="X4:X10" si="9">MIN(R4:U4)</f>
        <v>0.08485281374</v>
      </c>
    </row>
    <row r="5">
      <c r="A5" s="44" t="s">
        <v>44</v>
      </c>
      <c r="B5" s="45">
        <v>0.15</v>
      </c>
      <c r="C5" s="44" t="s">
        <v>144</v>
      </c>
      <c r="D5" s="41"/>
      <c r="E5" s="45">
        <v>4.0</v>
      </c>
      <c r="F5" s="45">
        <v>5.0</v>
      </c>
      <c r="G5" s="45">
        <v>4.0</v>
      </c>
      <c r="H5" s="45">
        <v>4.0</v>
      </c>
      <c r="I5" s="41"/>
      <c r="J5" s="41"/>
      <c r="K5" s="46">
        <f t="shared" si="2"/>
        <v>0.4681645888</v>
      </c>
      <c r="L5" s="46">
        <f t="shared" si="3"/>
        <v>0.585205736</v>
      </c>
      <c r="M5" s="46">
        <f t="shared" si="4"/>
        <v>0.4681645888</v>
      </c>
      <c r="N5" s="46">
        <f t="shared" si="5"/>
        <v>0.4681645888</v>
      </c>
      <c r="P5" s="46">
        <f t="shared" si="6"/>
        <v>8.544003745</v>
      </c>
      <c r="R5" s="46">
        <f t="shared" ref="R5:U5" si="7">$B$5*K5</f>
        <v>0.07022468832</v>
      </c>
      <c r="S5" s="46">
        <f t="shared" si="7"/>
        <v>0.0877808604</v>
      </c>
      <c r="T5" s="46">
        <f t="shared" si="7"/>
        <v>0.07022468832</v>
      </c>
      <c r="U5" s="46">
        <f t="shared" si="7"/>
        <v>0.07022468832</v>
      </c>
      <c r="W5" s="46">
        <f t="shared" si="8"/>
        <v>0.0877808604</v>
      </c>
      <c r="X5" s="46">
        <f t="shared" si="9"/>
        <v>0.07022468832</v>
      </c>
    </row>
    <row r="6">
      <c r="A6" s="44" t="s">
        <v>52</v>
      </c>
      <c r="B6" s="45">
        <v>0.1</v>
      </c>
      <c r="C6" s="44" t="s">
        <v>144</v>
      </c>
      <c r="D6" s="41"/>
      <c r="E6" s="45">
        <v>5.0</v>
      </c>
      <c r="F6" s="45">
        <v>5.0</v>
      </c>
      <c r="G6" s="45">
        <v>4.0</v>
      </c>
      <c r="H6" s="45">
        <v>3.0</v>
      </c>
      <c r="I6" s="41"/>
      <c r="J6" s="41"/>
      <c r="K6" s="46">
        <f t="shared" si="2"/>
        <v>0.5773502692</v>
      </c>
      <c r="L6" s="46">
        <f t="shared" si="3"/>
        <v>0.5773502692</v>
      </c>
      <c r="M6" s="46">
        <f t="shared" si="4"/>
        <v>0.4618802154</v>
      </c>
      <c r="N6" s="46">
        <f t="shared" si="5"/>
        <v>0.3464101615</v>
      </c>
      <c r="P6" s="46">
        <f t="shared" si="6"/>
        <v>8.660254038</v>
      </c>
      <c r="R6" s="46">
        <f t="shared" ref="R6:U6" si="10">$B$6*K6</f>
        <v>0.05773502692</v>
      </c>
      <c r="S6" s="46">
        <f t="shared" si="10"/>
        <v>0.05773502692</v>
      </c>
      <c r="T6" s="46">
        <f t="shared" si="10"/>
        <v>0.04618802154</v>
      </c>
      <c r="U6" s="46">
        <f t="shared" si="10"/>
        <v>0.03464101615</v>
      </c>
      <c r="W6" s="46">
        <f t="shared" si="8"/>
        <v>0.05773502692</v>
      </c>
      <c r="X6" s="46">
        <f t="shared" si="9"/>
        <v>0.03464101615</v>
      </c>
    </row>
    <row r="7">
      <c r="A7" s="44" t="s">
        <v>61</v>
      </c>
      <c r="B7" s="45">
        <v>0.1</v>
      </c>
      <c r="C7" s="44" t="s">
        <v>144</v>
      </c>
      <c r="D7" s="41"/>
      <c r="E7" s="45">
        <v>5.0</v>
      </c>
      <c r="F7" s="45">
        <v>5.0</v>
      </c>
      <c r="G7" s="45">
        <v>4.0</v>
      </c>
      <c r="H7" s="45">
        <v>4.0</v>
      </c>
      <c r="I7" s="41"/>
      <c r="J7" s="41"/>
      <c r="K7" s="46">
        <f t="shared" si="2"/>
        <v>0.5521576304</v>
      </c>
      <c r="L7" s="46">
        <f t="shared" si="3"/>
        <v>0.5521576304</v>
      </c>
      <c r="M7" s="46">
        <f t="shared" si="4"/>
        <v>0.4417261043</v>
      </c>
      <c r="N7" s="46">
        <f t="shared" si="5"/>
        <v>0.4417261043</v>
      </c>
      <c r="P7" s="46">
        <f t="shared" si="6"/>
        <v>9.055385138</v>
      </c>
      <c r="R7" s="46">
        <f t="shared" ref="R7:U7" si="11">$B$7*K7</f>
        <v>0.05521576304</v>
      </c>
      <c r="S7" s="46">
        <f t="shared" si="11"/>
        <v>0.05521576304</v>
      </c>
      <c r="T7" s="46">
        <f t="shared" si="11"/>
        <v>0.04417261043</v>
      </c>
      <c r="U7" s="46">
        <f t="shared" si="11"/>
        <v>0.04417261043</v>
      </c>
      <c r="W7" s="46">
        <f t="shared" si="8"/>
        <v>0.05521576304</v>
      </c>
      <c r="X7" s="46">
        <f t="shared" si="9"/>
        <v>0.04417261043</v>
      </c>
    </row>
    <row r="8">
      <c r="A8" s="44" t="s">
        <v>72</v>
      </c>
      <c r="B8" s="45">
        <v>0.15</v>
      </c>
      <c r="C8" s="44" t="s">
        <v>144</v>
      </c>
      <c r="D8" s="41"/>
      <c r="E8" s="45">
        <v>5.0</v>
      </c>
      <c r="F8" s="45">
        <v>4.0</v>
      </c>
      <c r="G8" s="45">
        <v>5.0</v>
      </c>
      <c r="H8" s="45">
        <v>5.0</v>
      </c>
      <c r="I8" s="41"/>
      <c r="J8" s="41"/>
      <c r="K8" s="46">
        <f t="shared" si="2"/>
        <v>0.5241424184</v>
      </c>
      <c r="L8" s="46">
        <f t="shared" si="3"/>
        <v>0.4193139347</v>
      </c>
      <c r="M8" s="46">
        <f t="shared" si="4"/>
        <v>0.5241424184</v>
      </c>
      <c r="N8" s="46">
        <f t="shared" si="5"/>
        <v>0.5241424184</v>
      </c>
      <c r="P8" s="46">
        <f t="shared" si="6"/>
        <v>9.539392014</v>
      </c>
      <c r="R8" s="46">
        <f t="shared" ref="R8:U8" si="12">$B$8*K8</f>
        <v>0.07862136275</v>
      </c>
      <c r="S8" s="46">
        <f t="shared" si="12"/>
        <v>0.0628970902</v>
      </c>
      <c r="T8" s="46">
        <f t="shared" si="12"/>
        <v>0.07862136275</v>
      </c>
      <c r="U8" s="46">
        <f t="shared" si="12"/>
        <v>0.07862136275</v>
      </c>
      <c r="W8" s="46">
        <f t="shared" si="8"/>
        <v>0.07862136275</v>
      </c>
      <c r="X8" s="46">
        <f t="shared" si="9"/>
        <v>0.0628970902</v>
      </c>
    </row>
    <row r="9">
      <c r="A9" s="44" t="s">
        <v>83</v>
      </c>
      <c r="B9" s="45">
        <v>0.1</v>
      </c>
      <c r="C9" s="44" t="s">
        <v>144</v>
      </c>
      <c r="D9" s="41"/>
      <c r="E9" s="45">
        <v>5.0</v>
      </c>
      <c r="F9" s="45">
        <v>4.0</v>
      </c>
      <c r="G9" s="45">
        <v>5.0</v>
      </c>
      <c r="H9" s="45">
        <v>4.0</v>
      </c>
      <c r="I9" s="41"/>
      <c r="J9" s="41"/>
      <c r="K9" s="46">
        <f t="shared" si="2"/>
        <v>0.5521576304</v>
      </c>
      <c r="L9" s="46">
        <f t="shared" si="3"/>
        <v>0.4417261043</v>
      </c>
      <c r="M9" s="46">
        <f t="shared" si="4"/>
        <v>0.5521576304</v>
      </c>
      <c r="N9" s="46">
        <f t="shared" si="5"/>
        <v>0.4417261043</v>
      </c>
      <c r="P9" s="46">
        <f t="shared" si="6"/>
        <v>9.055385138</v>
      </c>
      <c r="R9" s="46">
        <f t="shared" ref="R9:U9" si="13">$B$9*K9</f>
        <v>0.05521576304</v>
      </c>
      <c r="S9" s="46">
        <f t="shared" si="13"/>
        <v>0.04417261043</v>
      </c>
      <c r="T9" s="46">
        <f t="shared" si="13"/>
        <v>0.05521576304</v>
      </c>
      <c r="U9" s="46">
        <f t="shared" si="13"/>
        <v>0.04417261043</v>
      </c>
      <c r="W9" s="46">
        <f t="shared" si="8"/>
        <v>0.05521576304</v>
      </c>
      <c r="X9" s="46">
        <f t="shared" si="9"/>
        <v>0.04417261043</v>
      </c>
    </row>
    <row r="10">
      <c r="A10" s="44" t="s">
        <v>92</v>
      </c>
      <c r="B10" s="45">
        <v>0.2</v>
      </c>
      <c r="C10" s="44" t="s">
        <v>144</v>
      </c>
      <c r="D10" s="41"/>
      <c r="E10" s="45">
        <v>5.0</v>
      </c>
      <c r="F10" s="45">
        <v>5.0</v>
      </c>
      <c r="G10" s="45">
        <v>3.0</v>
      </c>
      <c r="H10" s="45">
        <v>2.0</v>
      </c>
      <c r="I10" s="41"/>
      <c r="J10" s="41"/>
      <c r="K10" s="46">
        <f t="shared" si="2"/>
        <v>0.6299407883</v>
      </c>
      <c r="L10" s="46">
        <f t="shared" si="3"/>
        <v>0.6299407883</v>
      </c>
      <c r="M10" s="46">
        <f t="shared" si="4"/>
        <v>0.377964473</v>
      </c>
      <c r="N10" s="46">
        <f t="shared" si="5"/>
        <v>0.2519763153</v>
      </c>
      <c r="P10" s="46">
        <f t="shared" si="6"/>
        <v>7.937253933</v>
      </c>
      <c r="R10" s="46">
        <f t="shared" ref="R10:U10" si="14">$B$10*K10</f>
        <v>0.1259881577</v>
      </c>
      <c r="S10" s="46">
        <f t="shared" si="14"/>
        <v>0.1259881577</v>
      </c>
      <c r="T10" s="46">
        <f t="shared" si="14"/>
        <v>0.0755928946</v>
      </c>
      <c r="U10" s="46">
        <f t="shared" si="14"/>
        <v>0.05039526307</v>
      </c>
      <c r="W10" s="46">
        <f t="shared" si="8"/>
        <v>0.1259881577</v>
      </c>
      <c r="X10" s="46">
        <f t="shared" si="9"/>
        <v>0.05039526307</v>
      </c>
    </row>
    <row r="11">
      <c r="A11" s="44" t="s">
        <v>145</v>
      </c>
      <c r="B11" s="41"/>
      <c r="C11" s="41"/>
      <c r="D11" s="41"/>
      <c r="E11" s="47">
        <f t="shared" ref="E11:H11" si="15">SUM(E4:E10)</f>
        <v>32</v>
      </c>
      <c r="F11" s="47">
        <f t="shared" si="15"/>
        <v>31</v>
      </c>
      <c r="G11" s="47">
        <f t="shared" si="15"/>
        <v>29</v>
      </c>
      <c r="H11" s="47">
        <f t="shared" si="15"/>
        <v>26</v>
      </c>
      <c r="I11" s="41"/>
      <c r="J11" s="41"/>
      <c r="K11" s="41"/>
      <c r="L11" s="41"/>
      <c r="M11" s="41"/>
      <c r="N11" s="41"/>
      <c r="O11" s="41"/>
      <c r="P11" s="41"/>
      <c r="Q11" s="41"/>
      <c r="R11" s="41"/>
      <c r="S11" s="41"/>
      <c r="T11" s="41"/>
      <c r="U11" s="41"/>
      <c r="V11" s="41"/>
      <c r="W11" s="41"/>
      <c r="X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row>
    <row r="13">
      <c r="B13" s="41"/>
      <c r="C13" s="43" t="s">
        <v>146</v>
      </c>
      <c r="D13" s="41"/>
      <c r="E13" s="41"/>
      <c r="F13" s="41"/>
      <c r="G13" s="41"/>
      <c r="H13" s="41"/>
      <c r="I13" s="41"/>
      <c r="J13" s="41"/>
      <c r="K13" s="41"/>
      <c r="L13" s="41"/>
      <c r="M13" s="41"/>
      <c r="N13" s="41"/>
      <c r="O13" s="41"/>
      <c r="P13" s="41"/>
      <c r="Q13" s="41"/>
      <c r="R13" s="41"/>
      <c r="S13" s="41"/>
      <c r="T13" s="41"/>
      <c r="U13" s="41"/>
      <c r="V13" s="41"/>
      <c r="W13" s="41"/>
      <c r="X13" s="41"/>
    </row>
    <row r="14">
      <c r="B14" s="41"/>
      <c r="C14" s="48" t="s">
        <v>147</v>
      </c>
      <c r="D14" s="49"/>
      <c r="E14" s="50">
        <f t="shared" ref="E14:H14" si="16">SUMPRODUCT($B$4:$B$10,E4:E10)/5</f>
        <v>0.89</v>
      </c>
      <c r="F14" s="50">
        <f t="shared" si="16"/>
        <v>0.87</v>
      </c>
      <c r="G14" s="50">
        <f t="shared" si="16"/>
        <v>0.81</v>
      </c>
      <c r="H14" s="50">
        <f t="shared" si="16"/>
        <v>0.73</v>
      </c>
      <c r="I14" s="41"/>
      <c r="J14" s="41"/>
      <c r="K14" s="51" t="s">
        <v>148</v>
      </c>
      <c r="L14" s="52"/>
      <c r="M14" s="52"/>
      <c r="N14" s="52"/>
      <c r="O14" s="53"/>
      <c r="P14" s="41"/>
      <c r="Q14" s="41"/>
      <c r="R14" s="41"/>
      <c r="S14" s="41"/>
      <c r="T14" s="41"/>
      <c r="U14" s="41"/>
      <c r="V14" s="41"/>
      <c r="W14" s="41"/>
      <c r="X14" s="41"/>
    </row>
    <row r="15">
      <c r="B15" s="41"/>
      <c r="C15" s="48" t="s">
        <v>149</v>
      </c>
      <c r="D15" s="49"/>
      <c r="E15" s="50">
        <f>RANK(E14,E14:H14,0)</f>
        <v>1</v>
      </c>
      <c r="F15" s="50">
        <f>RANK(F14,E14:H14,0)</f>
        <v>2</v>
      </c>
      <c r="G15" s="50">
        <f>RANK(G14,E14:H14,0)</f>
        <v>3</v>
      </c>
      <c r="H15" s="50">
        <f>RANK(H14,E14:H14,0)</f>
        <v>4</v>
      </c>
      <c r="I15" s="41"/>
      <c r="J15" s="41"/>
      <c r="K15" s="54"/>
      <c r="O15" s="55"/>
      <c r="P15" s="41"/>
      <c r="Q15" s="41"/>
      <c r="R15" s="41"/>
      <c r="S15" s="41"/>
      <c r="T15" s="41"/>
      <c r="U15" s="41"/>
      <c r="V15" s="41"/>
      <c r="W15" s="41"/>
      <c r="X15" s="41"/>
    </row>
    <row r="16">
      <c r="B16" s="41"/>
      <c r="C16" s="41"/>
      <c r="D16" s="41"/>
      <c r="E16" s="41"/>
      <c r="F16" s="41"/>
      <c r="G16" s="41"/>
      <c r="H16" s="41"/>
      <c r="I16" s="41"/>
      <c r="J16" s="41"/>
      <c r="K16" s="54"/>
      <c r="O16" s="55"/>
      <c r="P16" s="41"/>
      <c r="Q16" s="41"/>
      <c r="R16" s="41"/>
      <c r="S16" s="41"/>
      <c r="T16" s="41"/>
      <c r="U16" s="41"/>
      <c r="V16" s="41"/>
      <c r="W16" s="41"/>
      <c r="X16" s="41"/>
    </row>
    <row r="17">
      <c r="B17" s="41"/>
      <c r="C17" s="43" t="s">
        <v>150</v>
      </c>
      <c r="D17" s="41"/>
      <c r="E17" s="41"/>
      <c r="F17" s="41"/>
      <c r="G17" s="41"/>
      <c r="H17" s="41"/>
      <c r="I17" s="41"/>
      <c r="J17" s="41"/>
      <c r="K17" s="54"/>
      <c r="O17" s="55"/>
      <c r="P17" s="41"/>
      <c r="Q17" s="41"/>
      <c r="R17" s="41"/>
      <c r="S17" s="41"/>
      <c r="T17" s="41"/>
      <c r="U17" s="41"/>
      <c r="V17" s="41"/>
      <c r="W17" s="41"/>
      <c r="X17" s="41"/>
    </row>
    <row r="18">
      <c r="B18" s="41"/>
      <c r="C18" s="48" t="s">
        <v>151</v>
      </c>
      <c r="D18" s="49"/>
      <c r="E18" s="50">
        <f>EXP(B4*LN(MAX(E4,1))+B5*LN(MAX(E5,1))+B6*LN(MAX(E6,1))+B7*LN(MAX(E7,1))+B8*LN(MAX(E8,1))+B9*LN(MAX(E9,1))+B10*LN(MAX(E10,1)))</f>
        <v>4.365799155</v>
      </c>
      <c r="F18" s="50">
        <f>EXP(B4*LN(MAX(F4,1))+B5*LN(MAX(F5,1))+B6*LN(MAX(F6,1))+B7*LN(MAX(F7,1))+B8*LN(MAX(F8,1))+B9*LN(MAX(F9,1))+B10*LN(MAX(F10,1)))</f>
        <v>4.269458054</v>
      </c>
      <c r="G18" s="50">
        <f>EXP(B4*LN(MAX(G4,1))+B5*LN(MAX(G5,1))+B6*LN(MAX(G6,1))+B7*LN(MAX(G7,1))+B8*LN(MAX(G8,1))+B9*LN(MAX(G9,1))+B10*LN(MAX(G10,1)))</f>
        <v>3.993004018</v>
      </c>
      <c r="H18" s="50">
        <f>EXP(B4*LN(MAX(H4,1))+B5*LN(MAX(H5,1))+B6*LN(MAX(H6,1))+B7*LN(MAX(H7,1))+B8*LN(MAX(H8,1))+B9*LN(MAX(H9,1))+B10*LN(MAX(H10,1)))</f>
        <v>3.498618759</v>
      </c>
      <c r="I18" s="41"/>
      <c r="J18" s="41"/>
      <c r="K18" s="56"/>
      <c r="L18" s="57"/>
      <c r="M18" s="57"/>
      <c r="N18" s="57"/>
      <c r="O18" s="58"/>
      <c r="P18" s="41"/>
      <c r="Q18" s="41"/>
      <c r="R18" s="41"/>
      <c r="S18" s="41"/>
      <c r="T18" s="41"/>
      <c r="U18" s="41"/>
      <c r="V18" s="41"/>
      <c r="W18" s="41"/>
      <c r="X18" s="41"/>
    </row>
    <row r="19">
      <c r="B19" s="41"/>
      <c r="C19" s="48" t="s">
        <v>152</v>
      </c>
      <c r="D19" s="49"/>
      <c r="E19" s="50">
        <f>E18/SUM(E18:H18)</f>
        <v>0.2707156721</v>
      </c>
      <c r="F19" s="50">
        <f>F18/SUM(E18:H18)</f>
        <v>0.2647417267</v>
      </c>
      <c r="G19" s="50">
        <f>G18/SUM(E18:H18)</f>
        <v>0.247599289</v>
      </c>
      <c r="H19" s="50">
        <f>H18/SUM(E18:H18)</f>
        <v>0.2169433122</v>
      </c>
      <c r="I19" s="41"/>
      <c r="J19" s="41"/>
      <c r="K19" s="41"/>
      <c r="L19" s="41"/>
      <c r="M19" s="41"/>
      <c r="N19" s="41"/>
      <c r="O19" s="41"/>
      <c r="P19" s="41"/>
      <c r="Q19" s="41"/>
      <c r="R19" s="41"/>
      <c r="S19" s="41"/>
      <c r="T19" s="41"/>
      <c r="U19" s="41"/>
      <c r="V19" s="41"/>
      <c r="W19" s="41"/>
      <c r="X19" s="41"/>
    </row>
    <row r="20">
      <c r="B20" s="41"/>
      <c r="C20" s="48" t="s">
        <v>149</v>
      </c>
      <c r="D20" s="49"/>
      <c r="E20" s="50">
        <f>RANK(E19,E19:H19,0)</f>
        <v>1</v>
      </c>
      <c r="F20" s="50">
        <f>RANK(F19,E19:H19,0)</f>
        <v>2</v>
      </c>
      <c r="G20" s="50">
        <f>RANK(G19,E19:H19,0)</f>
        <v>3</v>
      </c>
      <c r="H20" s="50">
        <f>RANK(H19,E19:H19,0)</f>
        <v>4</v>
      </c>
      <c r="I20" s="41"/>
      <c r="J20" s="41"/>
      <c r="K20" s="41"/>
      <c r="L20" s="41"/>
      <c r="M20" s="41"/>
      <c r="N20" s="41"/>
      <c r="O20" s="41"/>
      <c r="P20" s="41"/>
      <c r="Q20" s="41"/>
      <c r="R20" s="41"/>
      <c r="S20" s="41"/>
      <c r="T20" s="41"/>
      <c r="U20" s="41"/>
      <c r="V20" s="41"/>
      <c r="W20" s="41"/>
      <c r="X20" s="41"/>
    </row>
    <row r="21">
      <c r="B21" s="41"/>
      <c r="C21" s="41"/>
      <c r="D21" s="41"/>
      <c r="I21" s="41"/>
      <c r="J21" s="41"/>
      <c r="K21" s="59" t="s">
        <v>146</v>
      </c>
      <c r="L21" s="1" t="s">
        <v>153</v>
      </c>
      <c r="M21" s="41"/>
      <c r="N21" s="41"/>
      <c r="O21" s="41"/>
      <c r="P21" s="41"/>
      <c r="Q21" s="41"/>
      <c r="R21" s="59" t="s">
        <v>150</v>
      </c>
      <c r="S21" s="1" t="s">
        <v>154</v>
      </c>
      <c r="T21" s="41"/>
      <c r="U21" s="41"/>
      <c r="V21" s="41"/>
      <c r="W21" s="41"/>
      <c r="X21" s="41"/>
    </row>
    <row r="22">
      <c r="B22" s="41"/>
      <c r="D22" s="41"/>
      <c r="I22" s="41"/>
      <c r="J22" s="41"/>
      <c r="K22" s="41"/>
      <c r="L22" s="41"/>
      <c r="M22" s="41"/>
      <c r="N22" s="41"/>
      <c r="O22" s="41"/>
      <c r="P22" s="41"/>
      <c r="Q22" s="41"/>
      <c r="R22" s="41"/>
      <c r="S22" s="41"/>
      <c r="T22" s="41"/>
      <c r="U22" s="41"/>
      <c r="V22" s="41"/>
      <c r="W22" s="41"/>
      <c r="X22" s="41"/>
    </row>
    <row r="23">
      <c r="B23" s="41"/>
      <c r="C23" s="48" t="s">
        <v>155</v>
      </c>
      <c r="D23" s="49"/>
      <c r="E23" s="50">
        <f>SQRT(POWER(R4-W4,2)+POWER(R5-W5,2)+POWER(R6-W6,2)+POWER(R7-W7,2)+POWER(R8-W8,2)+POWER(R9-W9,2)+POWER(R10-W10,2))</f>
        <v>0.03328992608</v>
      </c>
      <c r="F23" s="50">
        <f>SQRT(POWER(S4-W4,2)+POWER(S5-W5,2)+POWER(S6-W6,2)+POWER(S7-W7,2)+POWER(S8-W8,2)+POWER(S9-W9,2)+POWER(S10-W10,2))</f>
        <v>0.03419362465</v>
      </c>
      <c r="G23" s="50">
        <f>SQRT(POWER(T4-W4,2)+POWER(T5-W5,2)+POWER(T6-W6,2)+POWER(T7-W7,2)+POWER(T8-W8,2)+POWER(T9-W9,2)+POWER(T10-W10,2))</f>
        <v>0.05570624983</v>
      </c>
      <c r="H23" s="50">
        <f>SQRT(POWER(U4-W4,2)+POWER(U5-W5,2)+POWER(U6-W6,2)+POWER(U7-W7,2)+POWER(U8-W8,2)+POWER(U9-W9,2)+POWER(U10-W10,2))</f>
        <v>0.08246054005</v>
      </c>
      <c r="I23" s="41"/>
      <c r="J23" s="41"/>
      <c r="K23" s="41"/>
      <c r="L23" s="41"/>
      <c r="M23" s="41"/>
      <c r="N23" s="41"/>
      <c r="O23" s="41"/>
      <c r="P23" s="41"/>
      <c r="Q23" s="41"/>
      <c r="R23" s="41"/>
      <c r="S23" s="41"/>
      <c r="T23" s="41"/>
      <c r="U23" s="41"/>
      <c r="V23" s="41"/>
      <c r="W23" s="41"/>
      <c r="X23" s="41"/>
    </row>
    <row r="24">
      <c r="B24" s="41"/>
      <c r="C24" s="48" t="s">
        <v>156</v>
      </c>
      <c r="D24" s="49"/>
      <c r="E24" s="50">
        <f>SQRT(POWER(R4-X4,2)+POWER(R5-X5,2)+POWER(R6-X6,2)+POWER(R7-X7,2)+POWER(R8-X8,2)+POWER(R9-X9,2)+POWER(R10-X10,2))</f>
        <v>0.08209003736</v>
      </c>
      <c r="F24" s="50">
        <f>SQRT(POWER(S4-X4,2)+POWER(S5-X5,2)+POWER(S6-X6,2)+POWER(S7-X7,2)+POWER(S8-X8,2)+POWER(S9-X9,2)+POWER(S10-X10,2))</f>
        <v>0.08171774254</v>
      </c>
      <c r="G24" s="50">
        <f>SQRT(POWER(T4-X4,2)+POWER(T5-X5,2)+POWER(T6-X6,2)+POWER(T7-X7,2)+POWER(T8-X8,2)+POWER(T9-X9,2)+POWER(T10-X10,2))</f>
        <v>0.04401656433</v>
      </c>
      <c r="H24" s="50">
        <f>SQRT(POWER(U4-X4,2)+POWER(U5-X5,2)+POWER(U6-X6,2)+POWER(U7-X7,2)+POWER(U8-X8,2)+POWER(U9-X9,2)+POWER(U10-X10,2))</f>
        <v>0.0323612847</v>
      </c>
      <c r="I24" s="41"/>
      <c r="J24" s="41"/>
      <c r="K24" s="41"/>
      <c r="L24" s="41"/>
      <c r="M24" s="41"/>
      <c r="N24" s="41"/>
      <c r="O24" s="41"/>
      <c r="P24" s="41"/>
      <c r="Q24" s="41"/>
      <c r="R24" s="41"/>
      <c r="S24" s="41"/>
      <c r="T24" s="41"/>
      <c r="U24" s="41"/>
      <c r="V24" s="41"/>
      <c r="W24" s="41"/>
      <c r="X24" s="41"/>
    </row>
    <row r="25">
      <c r="B25" s="41"/>
      <c r="C25" s="48" t="s">
        <v>157</v>
      </c>
      <c r="D25" s="49"/>
      <c r="E25" s="50">
        <f t="shared" ref="E25:H25" si="17">E24/(E23+E24)</f>
        <v>0.7114756749</v>
      </c>
      <c r="F25" s="50">
        <f t="shared" si="17"/>
        <v>0.7050019728</v>
      </c>
      <c r="G25" s="50">
        <f t="shared" si="17"/>
        <v>0.4413891114</v>
      </c>
      <c r="H25" s="50">
        <f t="shared" si="17"/>
        <v>0.2818391431</v>
      </c>
      <c r="I25" s="41"/>
      <c r="J25" s="41"/>
      <c r="K25" s="41"/>
      <c r="L25" s="41"/>
      <c r="M25" s="41"/>
      <c r="N25" s="41"/>
      <c r="O25" s="41"/>
      <c r="P25" s="41"/>
      <c r="Q25" s="41"/>
      <c r="R25" s="41"/>
      <c r="S25" s="41"/>
      <c r="T25" s="41"/>
      <c r="U25" s="41"/>
      <c r="V25" s="41"/>
      <c r="W25" s="41"/>
      <c r="X25" s="41"/>
    </row>
    <row r="26">
      <c r="A26" s="41"/>
      <c r="B26" s="41"/>
      <c r="C26" s="48" t="s">
        <v>149</v>
      </c>
      <c r="D26" s="49"/>
      <c r="E26" s="50">
        <f>RANK(E25,E25:H25,0)</f>
        <v>1</v>
      </c>
      <c r="F26" s="50">
        <f>RANK(F25,E25:H25,0)</f>
        <v>2</v>
      </c>
      <c r="G26" s="50">
        <f>RANK(G25,E25:H25,0)</f>
        <v>3</v>
      </c>
      <c r="H26" s="50">
        <f>RANK(H25,E25:H25,0)</f>
        <v>4</v>
      </c>
      <c r="I26" s="41"/>
      <c r="J26" s="41"/>
      <c r="K26" s="41"/>
      <c r="L26" s="41"/>
      <c r="M26" s="41"/>
      <c r="N26" s="41"/>
      <c r="O26" s="41"/>
      <c r="P26" s="41"/>
      <c r="Q26" s="41"/>
      <c r="R26" s="41"/>
      <c r="S26" s="41"/>
      <c r="T26" s="41"/>
      <c r="U26" s="41"/>
      <c r="V26" s="41"/>
      <c r="W26" s="41"/>
      <c r="X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row>
    <row r="29">
      <c r="A29" s="43" t="s">
        <v>158</v>
      </c>
      <c r="C29" s="41"/>
      <c r="D29" s="41"/>
      <c r="E29" s="41"/>
      <c r="F29" s="41"/>
      <c r="G29" s="41"/>
      <c r="H29" s="41"/>
      <c r="I29" s="41"/>
      <c r="J29" s="41"/>
      <c r="K29" s="41"/>
      <c r="L29" s="41"/>
      <c r="M29" s="41"/>
      <c r="N29" s="41"/>
      <c r="O29" s="41"/>
      <c r="P29" s="41"/>
      <c r="Q29" s="41"/>
      <c r="R29" s="41"/>
      <c r="S29" s="41"/>
      <c r="T29" s="41"/>
      <c r="U29" s="41"/>
      <c r="V29" s="41"/>
      <c r="W29" s="41"/>
      <c r="X29" s="41"/>
    </row>
    <row r="30">
      <c r="A30" s="43" t="s">
        <v>159</v>
      </c>
      <c r="B30" s="43" t="s">
        <v>146</v>
      </c>
      <c r="C30" s="43" t="s">
        <v>150</v>
      </c>
      <c r="D30" s="43" t="s">
        <v>160</v>
      </c>
      <c r="E30" s="43" t="s">
        <v>161</v>
      </c>
      <c r="F30" s="43" t="s">
        <v>162</v>
      </c>
      <c r="G30" s="43" t="s">
        <v>163</v>
      </c>
      <c r="H30" s="43" t="s">
        <v>164</v>
      </c>
      <c r="I30" s="43" t="s">
        <v>165</v>
      </c>
      <c r="J30" s="41"/>
      <c r="K30" s="41"/>
      <c r="L30" s="41"/>
      <c r="M30" s="41"/>
      <c r="N30" s="41"/>
      <c r="O30" s="41"/>
      <c r="P30" s="41"/>
      <c r="Q30" s="41"/>
      <c r="R30" s="41"/>
      <c r="S30" s="41"/>
      <c r="T30" s="41"/>
      <c r="U30" s="41"/>
      <c r="V30" s="41"/>
      <c r="W30" s="41"/>
      <c r="X30" s="41"/>
    </row>
    <row r="31">
      <c r="A31" s="60" t="s">
        <v>127</v>
      </c>
      <c r="B31" s="61">
        <f>E14</f>
        <v>0.89</v>
      </c>
      <c r="C31" s="61">
        <f>E19</f>
        <v>0.2707156721</v>
      </c>
      <c r="D31" s="61">
        <f>E25</f>
        <v>0.7114756749</v>
      </c>
      <c r="E31" s="61">
        <f>E15</f>
        <v>1</v>
      </c>
      <c r="F31" s="61">
        <f>E20</f>
        <v>1</v>
      </c>
      <c r="G31" s="61">
        <f>E26</f>
        <v>1</v>
      </c>
      <c r="H31" s="61">
        <f t="shared" ref="H31:H34" si="18">4-E31+1 + 4-F31+1 + 4-G31+1</f>
        <v>12</v>
      </c>
      <c r="I31" s="61">
        <f>RANK(H31,H31:H34,0)</f>
        <v>1</v>
      </c>
      <c r="J31" s="41"/>
      <c r="K31" s="41"/>
      <c r="L31" s="41"/>
      <c r="M31" s="41"/>
      <c r="N31" s="41"/>
      <c r="O31" s="41"/>
      <c r="P31" s="41"/>
      <c r="Q31" s="41"/>
      <c r="R31" s="41"/>
      <c r="S31" s="41"/>
      <c r="T31" s="41"/>
      <c r="U31" s="41"/>
      <c r="V31" s="41"/>
      <c r="W31" s="41"/>
      <c r="X31" s="41"/>
    </row>
    <row r="32">
      <c r="A32" s="44" t="s">
        <v>128</v>
      </c>
      <c r="B32" s="46">
        <f>F14</f>
        <v>0.87</v>
      </c>
      <c r="C32" s="46">
        <f>F19</f>
        <v>0.2647417267</v>
      </c>
      <c r="D32" s="46">
        <f>F25</f>
        <v>0.7050019728</v>
      </c>
      <c r="E32" s="46">
        <f>F15</f>
        <v>2</v>
      </c>
      <c r="F32" s="46">
        <f>F20</f>
        <v>2</v>
      </c>
      <c r="G32" s="46">
        <f>F26</f>
        <v>2</v>
      </c>
      <c r="H32" s="46">
        <f t="shared" si="18"/>
        <v>9</v>
      </c>
      <c r="I32" s="46">
        <f>RANK(H32,H31:H34,0)</f>
        <v>2</v>
      </c>
      <c r="J32" s="41"/>
      <c r="K32" s="41"/>
      <c r="L32" s="41"/>
      <c r="M32" s="41"/>
      <c r="N32" s="41"/>
      <c r="O32" s="41"/>
      <c r="P32" s="41"/>
      <c r="Q32" s="41"/>
      <c r="R32" s="41"/>
      <c r="S32" s="41"/>
      <c r="T32" s="41"/>
      <c r="U32" s="41"/>
      <c r="V32" s="41"/>
      <c r="W32" s="41"/>
      <c r="X32" s="41"/>
    </row>
    <row r="33">
      <c r="A33" s="44" t="s">
        <v>129</v>
      </c>
      <c r="B33" s="46">
        <f>G14</f>
        <v>0.81</v>
      </c>
      <c r="C33" s="46">
        <f>G19</f>
        <v>0.247599289</v>
      </c>
      <c r="D33" s="46">
        <f>G25</f>
        <v>0.4413891114</v>
      </c>
      <c r="E33" s="46">
        <f>G15</f>
        <v>3</v>
      </c>
      <c r="F33" s="46">
        <f>G20</f>
        <v>3</v>
      </c>
      <c r="G33" s="46">
        <f>G26</f>
        <v>3</v>
      </c>
      <c r="H33" s="46">
        <f t="shared" si="18"/>
        <v>6</v>
      </c>
      <c r="I33" s="46">
        <f>RANK(H33,H31:H34,0)</f>
        <v>3</v>
      </c>
      <c r="J33" s="41"/>
      <c r="K33" s="41"/>
      <c r="L33" s="41"/>
      <c r="M33" s="41"/>
      <c r="N33" s="41"/>
      <c r="O33" s="41"/>
      <c r="P33" s="41"/>
      <c r="Q33" s="41"/>
      <c r="R33" s="41"/>
      <c r="S33" s="41"/>
      <c r="T33" s="41"/>
      <c r="U33" s="41"/>
      <c r="V33" s="41"/>
      <c r="W33" s="41"/>
      <c r="X33" s="41"/>
    </row>
    <row r="34">
      <c r="A34" s="44" t="s">
        <v>130</v>
      </c>
      <c r="B34" s="46">
        <f>H14</f>
        <v>0.73</v>
      </c>
      <c r="C34" s="46">
        <f>H19</f>
        <v>0.2169433122</v>
      </c>
      <c r="D34" s="46">
        <f>H25</f>
        <v>0.2818391431</v>
      </c>
      <c r="E34" s="46">
        <f>H15</f>
        <v>4</v>
      </c>
      <c r="F34" s="46">
        <f>H20</f>
        <v>4</v>
      </c>
      <c r="G34" s="46">
        <f>H26</f>
        <v>4</v>
      </c>
      <c r="H34" s="46">
        <f t="shared" si="18"/>
        <v>3</v>
      </c>
      <c r="I34" s="46">
        <f>RANK(H34,H31:H34,0)</f>
        <v>4</v>
      </c>
      <c r="J34" s="41"/>
      <c r="K34" s="59" t="s">
        <v>160</v>
      </c>
      <c r="L34" s="1" t="s">
        <v>166</v>
      </c>
      <c r="M34" s="41"/>
      <c r="N34" s="41"/>
      <c r="O34" s="41"/>
      <c r="P34" s="41"/>
      <c r="Q34" s="41"/>
      <c r="R34" s="41"/>
      <c r="S34" s="41"/>
      <c r="T34" s="41"/>
      <c r="U34" s="41"/>
      <c r="V34" s="41"/>
      <c r="W34" s="41"/>
      <c r="X34" s="41"/>
    </row>
  </sheetData>
  <mergeCells count="3">
    <mergeCell ref="A1:D1"/>
    <mergeCell ref="K14:O18"/>
    <mergeCell ref="A29:B2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5.63"/>
    <col customWidth="1" min="2" max="2" width="8.5"/>
    <col customWidth="1" min="3" max="3" width="16.75"/>
    <col customWidth="1" min="4" max="4" width="16.25"/>
    <col customWidth="1" min="5" max="5" width="40.63"/>
    <col customWidth="1" min="6" max="6" width="32.63"/>
    <col customWidth="1" min="7" max="7" width="33.38"/>
    <col customWidth="1" min="8" max="8" width="33.5"/>
    <col customWidth="1" min="9" max="9" width="34.25"/>
    <col customWidth="1" min="10" max="10" width="29.75"/>
    <col customWidth="1" min="11" max="11" width="32.0"/>
    <col customWidth="1" min="12" max="12" width="9.63"/>
    <col customWidth="1" min="14" max="14" width="12.13"/>
  </cols>
  <sheetData>
    <row r="1">
      <c r="A1" s="10" t="s">
        <v>21</v>
      </c>
      <c r="B1" s="10" t="s">
        <v>22</v>
      </c>
      <c r="C1" s="11" t="s">
        <v>23</v>
      </c>
      <c r="D1" s="12" t="s">
        <v>24</v>
      </c>
      <c r="E1" s="12" t="s">
        <v>25</v>
      </c>
      <c r="F1" s="12" t="s">
        <v>26</v>
      </c>
      <c r="G1" s="13" t="s">
        <v>27</v>
      </c>
      <c r="L1" s="14" t="s">
        <v>28</v>
      </c>
      <c r="N1" s="62" t="s">
        <v>167</v>
      </c>
      <c r="O1" s="62" t="s">
        <v>168</v>
      </c>
    </row>
    <row r="2">
      <c r="G2" s="13">
        <v>5.0</v>
      </c>
      <c r="H2" s="13">
        <v>4.0</v>
      </c>
      <c r="I2" s="13">
        <v>3.0</v>
      </c>
      <c r="J2" s="13">
        <v>2.0</v>
      </c>
      <c r="K2" s="13">
        <v>1.0</v>
      </c>
    </row>
    <row r="3">
      <c r="A3" s="19">
        <v>1.0</v>
      </c>
      <c r="B3" s="20">
        <f>L3/L10</f>
        <v>0.1186440678</v>
      </c>
      <c r="C3" s="21" t="s">
        <v>32</v>
      </c>
      <c r="D3" s="63" t="s">
        <v>169</v>
      </c>
      <c r="E3" s="23" t="s">
        <v>34</v>
      </c>
      <c r="F3" s="24" t="s">
        <v>35</v>
      </c>
      <c r="G3" s="64" t="s">
        <v>170</v>
      </c>
      <c r="H3" s="65" t="s">
        <v>171</v>
      </c>
      <c r="I3" s="64" t="s">
        <v>172</v>
      </c>
      <c r="J3" s="25" t="s">
        <v>39</v>
      </c>
      <c r="K3" s="25" t="s">
        <v>40</v>
      </c>
      <c r="L3" s="27">
        <v>3.5</v>
      </c>
      <c r="N3" s="66" t="s">
        <v>173</v>
      </c>
      <c r="O3" s="67" t="s">
        <v>174</v>
      </c>
    </row>
    <row r="4">
      <c r="A4" s="19">
        <v>2.0</v>
      </c>
      <c r="B4" s="20">
        <f>L4/L10</f>
        <v>0.1440677966</v>
      </c>
      <c r="C4" s="21" t="s">
        <v>32</v>
      </c>
      <c r="D4" s="63" t="s">
        <v>175</v>
      </c>
      <c r="E4" s="23" t="s">
        <v>45</v>
      </c>
      <c r="F4" s="24" t="s">
        <v>46</v>
      </c>
      <c r="G4" s="23" t="s">
        <v>176</v>
      </c>
      <c r="H4" s="31" t="s">
        <v>177</v>
      </c>
      <c r="I4" s="23" t="s">
        <v>178</v>
      </c>
      <c r="J4" s="23" t="s">
        <v>179</v>
      </c>
      <c r="K4" s="23" t="s">
        <v>180</v>
      </c>
      <c r="L4" s="27">
        <v>4.25</v>
      </c>
      <c r="N4" s="68" t="s">
        <v>181</v>
      </c>
      <c r="O4" s="34" t="s">
        <v>174</v>
      </c>
    </row>
    <row r="5">
      <c r="A5" s="19">
        <v>3.0</v>
      </c>
      <c r="B5" s="20">
        <f>L5/L10</f>
        <v>0.1440677966</v>
      </c>
      <c r="C5" s="21" t="s">
        <v>32</v>
      </c>
      <c r="D5" s="63" t="s">
        <v>182</v>
      </c>
      <c r="E5" s="23" t="s">
        <v>53</v>
      </c>
      <c r="F5" s="24" t="s">
        <v>54</v>
      </c>
      <c r="G5" s="23" t="s">
        <v>183</v>
      </c>
      <c r="H5" s="31" t="s">
        <v>184</v>
      </c>
      <c r="I5" s="23" t="s">
        <v>185</v>
      </c>
      <c r="J5" s="23" t="s">
        <v>186</v>
      </c>
      <c r="K5" s="23" t="s">
        <v>187</v>
      </c>
      <c r="L5" s="27">
        <v>4.25</v>
      </c>
      <c r="N5" s="68" t="s">
        <v>188</v>
      </c>
      <c r="O5" s="34" t="s">
        <v>174</v>
      </c>
    </row>
    <row r="6">
      <c r="A6" s="19">
        <v>4.0</v>
      </c>
      <c r="B6" s="20">
        <f>L6/L10</f>
        <v>0.1525423729</v>
      </c>
      <c r="C6" s="21" t="s">
        <v>32</v>
      </c>
      <c r="D6" s="63" t="s">
        <v>189</v>
      </c>
      <c r="E6" s="23" t="s">
        <v>62</v>
      </c>
      <c r="F6" s="24" t="s">
        <v>63</v>
      </c>
      <c r="G6" s="31" t="s">
        <v>190</v>
      </c>
      <c r="H6" s="23" t="s">
        <v>191</v>
      </c>
      <c r="I6" s="23" t="s">
        <v>192</v>
      </c>
      <c r="J6" s="23" t="s">
        <v>193</v>
      </c>
      <c r="K6" s="23" t="s">
        <v>194</v>
      </c>
      <c r="L6" s="27">
        <v>4.5</v>
      </c>
      <c r="N6" s="68" t="s">
        <v>195</v>
      </c>
      <c r="O6" s="34" t="s">
        <v>174</v>
      </c>
    </row>
    <row r="7">
      <c r="A7" s="19">
        <v>5.0</v>
      </c>
      <c r="B7" s="20">
        <f>L7/L10</f>
        <v>0.1610169492</v>
      </c>
      <c r="C7" s="21" t="s">
        <v>32</v>
      </c>
      <c r="D7" s="63" t="s">
        <v>196</v>
      </c>
      <c r="E7" s="23" t="s">
        <v>73</v>
      </c>
      <c r="F7" s="23" t="s">
        <v>74</v>
      </c>
      <c r="G7" s="31" t="s">
        <v>197</v>
      </c>
      <c r="H7" s="23" t="s">
        <v>198</v>
      </c>
      <c r="I7" s="23" t="s">
        <v>199</v>
      </c>
      <c r="J7" s="23" t="s">
        <v>200</v>
      </c>
      <c r="K7" s="23" t="s">
        <v>201</v>
      </c>
      <c r="L7" s="27">
        <v>4.75</v>
      </c>
      <c r="N7" s="68" t="s">
        <v>202</v>
      </c>
      <c r="O7" s="34" t="s">
        <v>174</v>
      </c>
    </row>
    <row r="8">
      <c r="A8" s="19">
        <v>6.0</v>
      </c>
      <c r="B8" s="20">
        <f>L8/L10</f>
        <v>0.1525423729</v>
      </c>
      <c r="C8" s="21" t="s">
        <v>32</v>
      </c>
      <c r="D8" s="63" t="s">
        <v>203</v>
      </c>
      <c r="E8" s="23" t="s">
        <v>84</v>
      </c>
      <c r="F8" s="24" t="s">
        <v>85</v>
      </c>
      <c r="G8" s="31" t="s">
        <v>204</v>
      </c>
      <c r="H8" s="23" t="s">
        <v>205</v>
      </c>
      <c r="I8" s="23" t="s">
        <v>206</v>
      </c>
      <c r="J8" s="23" t="s">
        <v>207</v>
      </c>
      <c r="K8" s="23" t="s">
        <v>208</v>
      </c>
      <c r="L8" s="27">
        <v>4.5</v>
      </c>
      <c r="N8" s="68" t="s">
        <v>209</v>
      </c>
      <c r="O8" s="34" t="s">
        <v>174</v>
      </c>
    </row>
    <row r="9">
      <c r="A9" s="19">
        <v>7.0</v>
      </c>
      <c r="B9" s="20">
        <f>L9/L10</f>
        <v>0.1271186441</v>
      </c>
      <c r="C9" s="21" t="s">
        <v>32</v>
      </c>
      <c r="D9" s="63" t="s">
        <v>210</v>
      </c>
      <c r="E9" s="23" t="s">
        <v>93</v>
      </c>
      <c r="F9" s="24" t="s">
        <v>94</v>
      </c>
      <c r="G9" s="24" t="s">
        <v>95</v>
      </c>
      <c r="H9" s="30" t="s">
        <v>96</v>
      </c>
      <c r="I9" s="24" t="s">
        <v>97</v>
      </c>
      <c r="J9" s="24" t="s">
        <v>98</v>
      </c>
      <c r="K9" s="24" t="s">
        <v>99</v>
      </c>
      <c r="L9" s="27">
        <v>3.75</v>
      </c>
      <c r="N9" s="68" t="s">
        <v>211</v>
      </c>
      <c r="O9" s="69"/>
    </row>
    <row r="10">
      <c r="B10" s="35">
        <f>SUM(B3:B9)</f>
        <v>1</v>
      </c>
      <c r="L10" s="36">
        <f>SUM(L3:L9)</f>
        <v>29.5</v>
      </c>
    </row>
  </sheetData>
  <mergeCells count="10">
    <mergeCell ref="L1:L2"/>
    <mergeCell ref="N1:N2"/>
    <mergeCell ref="O1:O2"/>
    <mergeCell ref="A1:A2"/>
    <mergeCell ref="B1:B2"/>
    <mergeCell ref="C1:C2"/>
    <mergeCell ref="D1:D2"/>
    <mergeCell ref="E1:E2"/>
    <mergeCell ref="F1:F2"/>
    <mergeCell ref="G1:K1"/>
  </mergeCells>
  <drawing r:id="rId1"/>
</worksheet>
</file>